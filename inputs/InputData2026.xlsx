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FER\CG\AdAgriF\FWI_Europe\RevisedData2026\"/>
    </mc:Choice>
  </mc:AlternateContent>
  <xr:revisionPtr revIDLastSave="0" documentId="13_ncr:1_{7871FF13-7154-4D9C-B7E7-D2BB332FEA53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CSV_Description" sheetId="455" r:id="rId1"/>
    <sheet name="List" sheetId="1" r:id="rId2"/>
    <sheet name="Species" sheetId="403" r:id="rId3"/>
    <sheet name="AUT" sheetId="430" r:id="rId4"/>
    <sheet name="BEL" sheetId="431" r:id="rId5"/>
    <sheet name="BGR" sheetId="432" r:id="rId6"/>
    <sheet name="CHE" sheetId="433" r:id="rId7"/>
    <sheet name="CZE" sheetId="434" r:id="rId8"/>
    <sheet name="DEU" sheetId="435" r:id="rId9"/>
    <sheet name="DNK" sheetId="436" r:id="rId10"/>
    <sheet name="ESP" sheetId="437" r:id="rId11"/>
    <sheet name="EST" sheetId="438" r:id="rId12"/>
    <sheet name="FIN" sheetId="439" r:id="rId13"/>
    <sheet name="FRA" sheetId="454" r:id="rId14"/>
    <sheet name="GRC" sheetId="440" r:id="rId15"/>
    <sheet name="HRV" sheetId="441" r:id="rId16"/>
    <sheet name="IRL" sheetId="442" r:id="rId17"/>
    <sheet name="ITA" sheetId="443" r:id="rId18"/>
    <sheet name="LVA" sheetId="444" r:id="rId19"/>
    <sheet name="LTU" sheetId="445" r:id="rId20"/>
    <sheet name="NLD" sheetId="446" r:id="rId21"/>
    <sheet name="NOR" sheetId="447" r:id="rId22"/>
    <sheet name="POL" sheetId="448" r:id="rId23"/>
    <sheet name="PRT" sheetId="449" r:id="rId24"/>
    <sheet name="ROU" sheetId="450" r:id="rId25"/>
    <sheet name="SVK" sheetId="451" r:id="rId26"/>
    <sheet name="SVN" sheetId="452" r:id="rId27"/>
    <sheet name="SWE" sheetId="453" r:id="rId28"/>
  </sheets>
  <definedNames>
    <definedName name="_xlnm._FilterDatabase" localSheetId="3" hidden="1">List!$A$1:$D$10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 a="1"/>
  <c r="I1" i="1" s="1"/>
</calcChain>
</file>

<file path=xl/sharedStrings.xml><?xml version="1.0" encoding="utf-8"?>
<sst xmlns="http://schemas.openxmlformats.org/spreadsheetml/2006/main" count="2028" uniqueCount="267">
  <si>
    <t>GRC</t>
  </si>
  <si>
    <t>Greece</t>
  </si>
  <si>
    <t>POL</t>
  </si>
  <si>
    <t>Poland</t>
  </si>
  <si>
    <t>ITA</t>
  </si>
  <si>
    <t>Italy</t>
  </si>
  <si>
    <t>SWE</t>
  </si>
  <si>
    <t>Sweden</t>
  </si>
  <si>
    <t>CHE</t>
  </si>
  <si>
    <t>Switzerland</t>
  </si>
  <si>
    <t>CCODE</t>
  </si>
  <si>
    <t>Country</t>
  </si>
  <si>
    <t>Note</t>
  </si>
  <si>
    <t>SORTID</t>
  </si>
  <si>
    <t>LVA</t>
  </si>
  <si>
    <t>Latvia</t>
  </si>
  <si>
    <t>IRL</t>
  </si>
  <si>
    <t>Ireland</t>
  </si>
  <si>
    <t>EST</t>
  </si>
  <si>
    <t>Estonia</t>
  </si>
  <si>
    <t>Burnt forest area missing in CRT, filled in from another input file</t>
  </si>
  <si>
    <t xml:space="preserve">CZE </t>
  </si>
  <si>
    <t>Czech Republic</t>
  </si>
  <si>
    <t>BEL</t>
  </si>
  <si>
    <t>Belgium</t>
  </si>
  <si>
    <t>ESP</t>
  </si>
  <si>
    <t>Spain</t>
  </si>
  <si>
    <t>FIN</t>
  </si>
  <si>
    <t>Finland</t>
  </si>
  <si>
    <t>NOR</t>
  </si>
  <si>
    <t>Norway</t>
  </si>
  <si>
    <t>PRT</t>
  </si>
  <si>
    <t>Portugal</t>
  </si>
  <si>
    <t>SVN</t>
  </si>
  <si>
    <t>Slovenia</t>
  </si>
  <si>
    <t>AUT</t>
  </si>
  <si>
    <t>Austria</t>
  </si>
  <si>
    <t>SVK</t>
  </si>
  <si>
    <t>Slovakia</t>
  </si>
  <si>
    <t>4A1+4A2</t>
  </si>
  <si>
    <t>LTU</t>
  </si>
  <si>
    <t>Lithuania</t>
  </si>
  <si>
    <t>NLD</t>
  </si>
  <si>
    <t>Netherlands</t>
  </si>
  <si>
    <t>BGR</t>
  </si>
  <si>
    <t>DEU</t>
  </si>
  <si>
    <t>Germany</t>
  </si>
  <si>
    <t>DNK</t>
  </si>
  <si>
    <t>Denmark</t>
  </si>
  <si>
    <t>ROU</t>
  </si>
  <si>
    <t>Romania</t>
  </si>
  <si>
    <t>Croatia</t>
  </si>
  <si>
    <t>Bulgaria</t>
  </si>
  <si>
    <t>Not all years with data</t>
  </si>
  <si>
    <t>DATA MISSING, complemented from NID 2025 and NID text for 2024</t>
  </si>
  <si>
    <t>HRV</t>
  </si>
  <si>
    <t>Country</t>
  </si>
  <si>
    <t>Share_Con</t>
  </si>
  <si>
    <t>Share_Pines</t>
  </si>
  <si>
    <t>Forest_share</t>
  </si>
  <si>
    <t>AUT</t>
  </si>
  <si>
    <t>BEL</t>
  </si>
  <si>
    <t>BGR</t>
  </si>
  <si>
    <t>CHE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</si>
  <si>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</si>
  <si>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</si>
  <si>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</si>
  <si>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</si>
  <si>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</si>
  <si>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</si>
  <si>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</si>
  <si>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</si>
  <si>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</si>
  <si>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HRV</t>
  </si>
  <si>
    <t>HUN</t>
  </si>
  <si>
    <t>IRL</t>
  </si>
  <si>
    <t>ITA</t>
  </si>
  <si>
    <t>LTU</t>
  </si>
  <si>
    <t>LVA</t>
  </si>
  <si>
    <t>NLD</t>
  </si>
  <si>
    <t>NOR</t>
  </si>
  <si>
    <t>PRT</t>
  </si>
  <si>
    <t>ROU</t>
  </si>
  <si>
    <t>SVK</t>
  </si>
  <si>
    <t>SVN</t>
  </si>
  <si>
    <t>SWE</t>
  </si>
  <si>
    <t>POL</t>
  </si>
  <si>
    <t>Year</t>
  </si>
  <si>
    <t>Description</t>
  </si>
  <si>
    <t>Unit</t>
  </si>
  <si>
    <t>Values</t>
  </si>
  <si>
    <t>IEF_CO2</t>
  </si>
  <si>
    <t>IEF_CH4</t>
  </si>
  <si>
    <t>IEF_N2O</t>
  </si>
  <si>
    <t>E_CO2</t>
  </si>
  <si>
    <t>E_CH4</t>
  </si>
  <si>
    <t>E_N2O</t>
  </si>
  <si>
    <t>FA_Area</t>
  </si>
  <si>
    <t>BFAI</t>
  </si>
  <si>
    <t>Area burned</t>
  </si>
  <si>
    <t>ha</t>
  </si>
  <si>
    <t>NA</t>
  </si>
  <si>
    <t>Biomass burned</t>
  </si>
  <si>
    <t>kg dm</t>
  </si>
  <si>
    <t>France</t>
  </si>
  <si>
    <t>Hungary</t>
  </si>
  <si>
    <t>Great Britain</t>
  </si>
  <si>
    <t>Does not report burnt areas, but biomass burnt</t>
  </si>
  <si>
    <t>No fires reported</t>
  </si>
  <si>
    <t>Questionable assessment of burnt forest area (constant for all years)</t>
  </si>
  <si>
    <t>1. File metadata</t>
  </si>
  <si>
    <t>Item</t>
  </si>
  <si>
    <t>Value</t>
  </si>
  <si>
    <t>File name</t>
  </si>
  <si>
    <t>AnalyticalData2026.csv</t>
  </si>
  <si>
    <t>Created</t>
  </si>
  <si>
    <t>2026-04-19</t>
  </si>
  <si>
    <t>Script</t>
  </si>
  <si>
    <t>Build_AnalyticalData2026.R</t>
  </si>
  <si>
    <t>Countries (n)</t>
  </si>
  <si>
    <t>22</t>
  </si>
  <si>
    <t>Countries</t>
  </si>
  <si>
    <t>AUT, BEL, BGR, CZE, DEU, DNK, ESP, FIN, FRA, GRC, HRV, CHE, ITA, LTU, LVA, NOR, POL, PRT, ROU, SVK, SVN, SWE</t>
  </si>
  <si>
    <t>Years</t>
  </si>
  <si>
    <t>1990 – 2024</t>
  </si>
  <si>
    <t>Excluded from analysis</t>
  </si>
  <si>
    <t>EST, IRL, NLD</t>
  </si>
  <si>
    <t>Total rows</t>
  </si>
  <si>
    <t>770</t>
  </si>
  <si>
    <t>Total columns</t>
  </si>
  <si>
    <t>138</t>
  </si>
  <si>
    <t>2. Seasonal suffix key (* in variable names above)</t>
  </si>
  <si>
    <t>Suffix</t>
  </si>
  <si>
    <t>Period</t>
  </si>
  <si>
    <t>_year</t>
  </si>
  <si>
    <t>Full calendar year (Jan–Dec)</t>
  </si>
  <si>
    <t>_MAMJJASO</t>
  </si>
  <si>
    <t>Mar–Oct (main vegetation + fire season)</t>
  </si>
  <si>
    <t>_AMJJAS</t>
  </si>
  <si>
    <t>Apr–Sep (core fire season)</t>
  </si>
  <si>
    <t>_ONDJFM</t>
  </si>
  <si>
    <t>Oct–Mar (dormant / cold season)</t>
  </si>
  <si>
    <t>_NDJF</t>
  </si>
  <si>
    <t>Nov–Feb (winter)</t>
  </si>
  <si>
    <t>3. Variable dictionary</t>
  </si>
  <si>
    <t>Variable</t>
  </si>
  <si>
    <t>Unit</t>
  </si>
  <si>
    <t>Description</t>
  </si>
  <si>
    <t>Source</t>
  </si>
  <si>
    <t>Country</t>
  </si>
  <si>
    <t>–</t>
  </si>
  <si>
    <t>ISO 3166-1 alpha-3 country code</t>
  </si>
  <si>
    <t>InputData2026.xlsx / aggregated_forest.csv</t>
  </si>
  <si>
    <t>Year</t>
  </si>
  <si>
    <t>Calendar year</t>
  </si>
  <si>
    <t>Dataset</t>
  </si>
  <si>
    <t>Dataset role in 3-year calibration/verification cycle anchored to 1990: Cal = calibration (years 1 &amp; 2 of each triplet, e.g. 1990, 1991, 1993, 1994 …); Ver = verification (year 3, e.g. 1992, 1995, 1998 …)</t>
  </si>
  <si>
    <t>Derived — computed by Build_AnalyticalData2026.R</t>
  </si>
  <si>
    <t>TMAX_*</t>
  </si>
  <si>
    <t>°C</t>
  </si>
  <si>
    <t>Daily maximum air temperature – annual / seasonal aggregates</t>
  </si>
  <si>
    <t>aggregated_forest.csv</t>
  </si>
  <si>
    <t>TMIN_*</t>
  </si>
  <si>
    <t>Daily minimum air temperature – annual / seasonal aggregates</t>
  </si>
  <si>
    <t>TAVG_*</t>
  </si>
  <si>
    <t>Daily mean air temperature – annual / seasonal aggregates</t>
  </si>
  <si>
    <t>RH_*</t>
  </si>
  <si>
    <t>%</t>
  </si>
  <si>
    <t>Mean relative humidity – annual / seasonal aggregates</t>
  </si>
  <si>
    <t>RHmin_*</t>
  </si>
  <si>
    <t>Mean minimum relative humidity – annual / seasonal aggregates</t>
  </si>
  <si>
    <t>PREC_*</t>
  </si>
  <si>
    <t>mm</t>
  </si>
  <si>
    <t>Total precipitation – annual / seasonal aggregates</t>
  </si>
  <si>
    <t>SRAD_*</t>
  </si>
  <si>
    <t>kJ m⁻²</t>
  </si>
  <si>
    <t>Solar radiation – annual / seasonal aggregates</t>
  </si>
  <si>
    <t>WIND_*</t>
  </si>
  <si>
    <t>m s⁻¹</t>
  </si>
  <si>
    <t>Mean wind speed – annual / seasonal aggregates</t>
  </si>
  <si>
    <t>VPD_*</t>
  </si>
  <si>
    <t>kPa</t>
  </si>
  <si>
    <t>Vapour pressure deficit – annual / seasonal aggregates</t>
  </si>
  <si>
    <t>FWI_FD_*</t>
  </si>
  <si>
    <t>days</t>
  </si>
  <si>
    <t>Number of fire-danger days (FWI &gt; 0) – annual / seasonal</t>
  </si>
  <si>
    <t>FWI_3+_*</t>
  </si>
  <si>
    <t>Number of days with FWI ≥ 3 – annual / seasonal</t>
  </si>
  <si>
    <t>FWI_4+_*</t>
  </si>
  <si>
    <t>Number of days with FWI ≥ 4 – annual / seasonal</t>
  </si>
  <si>
    <t>FWI_5+_*</t>
  </si>
  <si>
    <t>Number of days with FWI ≥ 5 – annual / seasonal</t>
  </si>
  <si>
    <t>FWI_6_*</t>
  </si>
  <si>
    <t>Number of days with FWI = 6 (highest class) – annual / seasonal</t>
  </si>
  <si>
    <t>DFM10H_*</t>
  </si>
  <si>
    <t>10-hour dead fuel moisture content – annual / seasonal aggregates</t>
  </si>
  <si>
    <t>DFM10H_u10_*</t>
  </si>
  <si>
    <t>Days with DFM10H &lt; 10% – annual / seasonal</t>
  </si>
  <si>
    <t>DFM10H_u8_*</t>
  </si>
  <si>
    <t>Days with DFM10H &lt; 8% – annual / seasonal</t>
  </si>
  <si>
    <t>DFM10H_u6_*</t>
  </si>
  <si>
    <t>Days with DFM10H &lt; 6% – annual / seasonal</t>
  </si>
  <si>
    <t>DFM10H_u4_*</t>
  </si>
  <si>
    <t>Days with DFM10H &lt; 4% – annual / seasonal</t>
  </si>
  <si>
    <t>DFM10H_u2_*</t>
  </si>
  <si>
    <t>Days with DFM10H &lt; 2% – annual / seasonal</t>
  </si>
  <si>
    <t>AWP0-40_S2+_*</t>
  </si>
  <si>
    <t>Days with available water potential 0–40 cm ≤ −2 MPa – annual / seasonal</t>
  </si>
  <si>
    <t>AWP0-40_S3+_*</t>
  </si>
  <si>
    <t>Days with available water potential 0–40 cm ≤ −3 MPa – annual / seasonal</t>
  </si>
  <si>
    <t>AWP0-40_S4+_*</t>
  </si>
  <si>
    <t>Days with available water potential 0–40 cm ≤ −4 MPa – annual / seasonal</t>
  </si>
  <si>
    <t>AWD0-40_sum_*</t>
  </si>
  <si>
    <t>Accumulated water deficit 0–40 cm – annual / seasonal sum</t>
  </si>
  <si>
    <t>AWR0-10_u30_*</t>
  </si>
  <si>
    <t>Days with available water reserve 0–10 cm &lt; 30% – annual / seasonal</t>
  </si>
  <si>
    <t>AWR0-40_u30_*</t>
  </si>
  <si>
    <t>Days with available water reserve 0–40 cm &lt; 30% – annual / seasonal</t>
  </si>
  <si>
    <t>Share_Con</t>
  </si>
  <si>
    <t>proportion (0–1)</t>
  </si>
  <si>
    <t>Share of conifers in national forest area; constant across years (national average)</t>
  </si>
  <si>
    <t>InputData2026.xlsx – sheet: Species</t>
  </si>
  <si>
    <t>Share_Pines</t>
  </si>
  <si>
    <t>Share of pines in national forest area; constant across years (national average)</t>
  </si>
  <si>
    <t>FA_kha</t>
  </si>
  <si>
    <t>kha</t>
  </si>
  <si>
    <t>National forest area</t>
  </si>
  <si>
    <t>InputData2026.xlsx – individual country sheets (column FA_Area)</t>
  </si>
  <si>
    <t>BFA_ha</t>
  </si>
  <si>
    <t>ha</t>
  </si>
  <si>
    <t>National burnt forest area reported under UNFCCC/NIR Table 4(IV)</t>
  </si>
  <si>
    <t>InputData2026.xlsx – individual country sheets (column Values)</t>
  </si>
  <si>
    <t>BFAI</t>
  </si>
  <si>
    <t>ha kha⁻¹</t>
  </si>
  <si>
    <t>Burnt Forest Area Index = BFA_ha / FA_kha</t>
  </si>
  <si>
    <t>InputData2026.xlsx – individual country sheets (column BFAI)</t>
  </si>
  <si>
    <t>4. BFAI data completeness by country (years 1990–2024)</t>
  </si>
  <si>
    <t>Total years</t>
  </si>
  <si>
    <t>Years present</t>
  </si>
  <si>
    <t>Years missing</t>
  </si>
  <si>
    <t>Missing (%)</t>
  </si>
  <si>
    <t>Note</t>
  </si>
  <si>
    <t>DNK</t>
  </si>
  <si>
    <t>Majority missing — no fires reported most years</t>
  </si>
  <si>
    <t>BEL</t>
  </si>
  <si>
    <t>Partial — no fires in some years</t>
  </si>
  <si>
    <t>BGR</t>
  </si>
  <si>
    <t>FIN</t>
  </si>
  <si>
    <t>AUT</t>
  </si>
  <si>
    <t>Complete</t>
  </si>
  <si>
    <t>CHE</t>
  </si>
  <si>
    <t>CZE</t>
  </si>
  <si>
    <t>DEU</t>
  </si>
  <si>
    <t>ESP</t>
  </si>
  <si>
    <t>FRA</t>
  </si>
  <si>
    <t>GRC</t>
  </si>
  <si>
    <t>HRV</t>
  </si>
  <si>
    <t>ITA</t>
  </si>
  <si>
    <t>LTU</t>
  </si>
  <si>
    <t>LVA</t>
  </si>
  <si>
    <t>NOR</t>
  </si>
  <si>
    <t>POL</t>
  </si>
  <si>
    <t>PRT</t>
  </si>
  <si>
    <t>ROU</t>
  </si>
  <si>
    <t>SVK</t>
  </si>
  <si>
    <t>SVN</t>
  </si>
  <si>
    <t>SWE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</si>
</sst>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  <charset val="238"/>
    </font>
    <font>
      <b/>
      <sz val="9"/>
      <color rgb="FFFFFFFF"/>
      <name val="Calibri"/>
      <family val="2"/>
      <charset val="238"/>
    </font>
    <font>
      <sz val="9"/>
      <color theme="1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2" fontId="3" fillId="0" borderId="0" xfId="0" applyNumberFormat="1" applyFont="1"/>
    <xf numFmtId="0" fontId="4" fillId="0" borderId="2" xfId="0" applyFont="1" applyBorder="1"/>
    <xf numFmtId="164" fontId="4" fillId="0" borderId="3" xfId="0" applyNumberFormat="1" applyFont="1" applyBorder="1"/>
    <xf numFmtId="164" fontId="4" fillId="0" borderId="4" xfId="0" applyNumberFormat="1" applyFont="1" applyBorder="1"/>
    <xf numFmtId="164" fontId="4" fillId="0" borderId="2" xfId="0" applyNumberFormat="1" applyFont="1" applyBorder="1"/>
    <xf numFmtId="0" fontId="5" fillId="2" borderId="1" xfId="0" applyFont="1" applyFill="1" applyBorder="1" applyAlignment="1">
      <alignment horizontal="center" wrapText="1"/>
    </xf>
    <xf numFmtId="1" fontId="4" fillId="0" borderId="3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6" fillId="3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8" fillId="5" borderId="0" xfId="0" applyFont="1" applyFill="1" applyAlignment="1">
      <alignment horizontal="left" vertical="top" wrapText="1"/>
    </xf>
    <xf numFmtId="0" fontId="8" fillId="6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81"/>
  <sheetViews>
    <sheetView tabSelected="1" workbookViewId="0">
      <selection activeCell="B30" sqref="B30"/>
    </sheetView>
  </sheetViews>
  <sheetFormatPr defaultColWidth="25.88671875" defaultRowHeight="14.4" x14ac:dyDescent="0.3"/>
  <cols>
    <col min="1" max="1" width="39.5546875" bestFit="1" customWidth="1"/>
    <col min="2" max="2" width="78" bestFit="1" customWidth="1"/>
    <col min="3" max="3" width="67.77734375" bestFit="1" customWidth="1"/>
    <col min="4" max="4" width="46.21875" bestFit="1" customWidth="1"/>
    <col min="5" max="5" width="8.77734375" bestFit="1" customWidth="1"/>
    <col min="6" max="6" width="34.44140625" bestFit="1" customWidth="1"/>
  </cols>
  <sheetData>
    <row r="1" spans="1:2" x14ac:dyDescent="0.3">
      <c r="A1" s="15" t="s">
        <v>110</v>
      </c>
      <c r="B1" s="15"/>
    </row>
    <row r="2" spans="1:2" x14ac:dyDescent="0.3">
      <c r="A2" s="16" t="s">
        <v>111</v>
      </c>
      <c r="B2" s="16" t="s">
        <v>112</v>
      </c>
    </row>
    <row r="3" spans="1:2" x14ac:dyDescent="0.3">
      <c r="A3" s="17" t="s">
        <v>113</v>
      </c>
      <c r="B3" s="17" t="s">
        <v>114</v>
      </c>
    </row>
    <row r="4" spans="1:2" x14ac:dyDescent="0.3">
      <c r="A4" s="17" t="s">
        <v>115</v>
      </c>
      <c r="B4" s="17" t="s">
        <v>116</v>
      </c>
    </row>
    <row r="5" spans="1:2" x14ac:dyDescent="0.3">
      <c r="A5" s="17" t="s">
        <v>117</v>
      </c>
      <c r="B5" s="17" t="s">
        <v>118</v>
      </c>
    </row>
    <row r="6" spans="1:2" x14ac:dyDescent="0.3">
      <c r="A6" s="17" t="s">
        <v>119</v>
      </c>
      <c r="B6" s="17" t="s">
        <v>120</v>
      </c>
    </row>
    <row r="7" spans="1:2" x14ac:dyDescent="0.3">
      <c r="A7" s="17" t="s">
        <v>121</v>
      </c>
      <c r="B7" s="17" t="s">
        <v>122</v>
      </c>
    </row>
    <row r="8" spans="1:2" x14ac:dyDescent="0.3">
      <c r="A8" s="17" t="s">
        <v>123</v>
      </c>
      <c r="B8" s="17" t="s">
        <v>124</v>
      </c>
    </row>
    <row r="9" spans="1:2" x14ac:dyDescent="0.3">
      <c r="A9" s="17" t="s">
        <v>125</v>
      </c>
      <c r="B9" s="17" t="s">
        <v>126</v>
      </c>
    </row>
    <row r="10" spans="1:2" x14ac:dyDescent="0.3">
      <c r="A10" s="17" t="s">
        <v>127</v>
      </c>
      <c r="B10" s="17" t="s">
        <v>128</v>
      </c>
    </row>
    <row r="11" spans="1:2" x14ac:dyDescent="0.3">
      <c r="A11" s="17" t="s">
        <v>129</v>
      </c>
      <c r="B11" s="17" t="s">
        <v>130</v>
      </c>
    </row>
    <row r="13" spans="1:2" x14ac:dyDescent="0.3">
      <c r="A13" s="15" t="s">
        <v>131</v>
      </c>
      <c r="B13" s="15"/>
    </row>
    <row r="14" spans="1:2" x14ac:dyDescent="0.3">
      <c r="A14" s="16" t="s">
        <v>132</v>
      </c>
      <c r="B14" s="16" t="s">
        <v>133</v>
      </c>
    </row>
    <row r="15" spans="1:2" x14ac:dyDescent="0.3">
      <c r="A15" s="17" t="s">
        <v>134</v>
      </c>
      <c r="B15" s="17" t="s">
        <v>135</v>
      </c>
    </row>
    <row r="16" spans="1:2" x14ac:dyDescent="0.3">
      <c r="A16" s="17" t="s">
        <v>136</v>
      </c>
      <c r="B16" s="17" t="s">
        <v>137</v>
      </c>
    </row>
    <row r="17" spans="1:4" x14ac:dyDescent="0.3">
      <c r="A17" s="17" t="s">
        <v>138</v>
      </c>
      <c r="B17" s="17" t="s">
        <v>139</v>
      </c>
    </row>
    <row r="18" spans="1:4" x14ac:dyDescent="0.3">
      <c r="A18" s="17" t="s">
        <v>140</v>
      </c>
      <c r="B18" s="17" t="s">
        <v>141</v>
      </c>
    </row>
    <row r="19" spans="1:4" x14ac:dyDescent="0.3">
      <c r="A19" s="17" t="s">
        <v>142</v>
      </c>
      <c r="B19" s="17" t="s">
        <v>143</v>
      </c>
    </row>
    <row r="21" spans="1:4" x14ac:dyDescent="0.3">
      <c r="A21" s="15" t="s">
        <v>144</v>
      </c>
      <c r="B21" s="15"/>
      <c r="C21" s="15"/>
      <c r="D21" s="15"/>
    </row>
    <row r="22" spans="1:4" x14ac:dyDescent="0.3">
      <c r="A22" s="16" t="s">
        <v>145</v>
      </c>
      <c r="B22" s="16" t="s">
        <v>146</v>
      </c>
      <c r="C22" s="16" t="s">
        <v>147</v>
      </c>
      <c r="D22" s="16" t="s">
        <v>148</v>
      </c>
    </row>
    <row r="23" spans="1:4" x14ac:dyDescent="0.3">
      <c r="A23" s="17" t="s">
        <v>149</v>
      </c>
      <c r="B23" s="17" t="s">
        <v>150</v>
      </c>
      <c r="C23" s="17" t="s">
        <v>151</v>
      </c>
      <c r="D23" s="17" t="s">
        <v>152</v>
      </c>
    </row>
    <row r="24" spans="1:4" x14ac:dyDescent="0.3">
      <c r="A24" s="17" t="s">
        <v>153</v>
      </c>
      <c r="B24" s="17" t="s">
        <v>150</v>
      </c>
      <c r="C24" s="17" t="s">
        <v>154</v>
      </c>
      <c r="D24" s="17" t="s">
        <v>152</v>
      </c>
    </row>
    <row r="25" spans="1:4" ht="24" x14ac:dyDescent="0.3">
      <c r="A25" s="17" t="s">
        <v>155</v>
      </c>
      <c r="B25" s="17" t="s">
        <v>150</v>
      </c>
      <c r="C25" s="17" t="s">
        <v>156</v>
      </c>
      <c r="D25" s="17" t="s">
        <v>157</v>
      </c>
    </row>
    <row r="26" spans="1:4" x14ac:dyDescent="0.3">
      <c r="A26" s="17" t="s">
        <v>158</v>
      </c>
      <c r="B26" s="17" t="s">
        <v>159</v>
      </c>
      <c r="C26" s="17" t="s">
        <v>160</v>
      </c>
      <c r="D26" s="17" t="s">
        <v>161</v>
      </c>
    </row>
    <row r="27" spans="1:4" x14ac:dyDescent="0.3">
      <c r="A27" s="17" t="s">
        <v>162</v>
      </c>
      <c r="B27" s="17" t="s">
        <v>159</v>
      </c>
      <c r="C27" s="17" t="s">
        <v>163</v>
      </c>
      <c r="D27" s="17" t="s">
        <v>161</v>
      </c>
    </row>
    <row r="28" spans="1:4" x14ac:dyDescent="0.3">
      <c r="A28" s="17" t="s">
        <v>164</v>
      </c>
      <c r="B28" s="17" t="s">
        <v>159</v>
      </c>
      <c r="C28" s="17" t="s">
        <v>165</v>
      </c>
      <c r="D28" s="17" t="s">
        <v>161</v>
      </c>
    </row>
    <row r="29" spans="1:4" x14ac:dyDescent="0.3">
      <c r="A29" s="17" t="s">
        <v>166</v>
      </c>
      <c r="B29" s="17" t="s">
        <v>167</v>
      </c>
      <c r="C29" s="17" t="s">
        <v>168</v>
      </c>
      <c r="D29" s="17" t="s">
        <v>161</v>
      </c>
    </row>
    <row r="30" spans="1:4" x14ac:dyDescent="0.3">
      <c r="A30" s="17" t="s">
        <v>169</v>
      </c>
      <c r="B30" s="17" t="s">
        <v>167</v>
      </c>
      <c r="C30" s="17" t="s">
        <v>170</v>
      </c>
      <c r="D30" s="17" t="s">
        <v>161</v>
      </c>
    </row>
    <row r="31" spans="1:4" x14ac:dyDescent="0.3">
      <c r="A31" s="17" t="s">
        <v>171</v>
      </c>
      <c r="B31" s="17" t="s">
        <v>172</v>
      </c>
      <c r="C31" s="17" t="s">
        <v>173</v>
      </c>
      <c r="D31" s="17" t="s">
        <v>161</v>
      </c>
    </row>
    <row r="32" spans="1:4" x14ac:dyDescent="0.3">
      <c r="A32" s="17" t="s">
        <v>174</v>
      </c>
      <c r="B32" s="17" t="s">
        <v>175</v>
      </c>
      <c r="C32" s="17" t="s">
        <v>176</v>
      </c>
      <c r="D32" s="17" t="s">
        <v>161</v>
      </c>
    </row>
    <row r="33" spans="1:4" x14ac:dyDescent="0.3">
      <c r="A33" s="17" t="s">
        <v>177</v>
      </c>
      <c r="B33" s="17" t="s">
        <v>178</v>
      </c>
      <c r="C33" s="17" t="s">
        <v>179</v>
      </c>
      <c r="D33" s="17" t="s">
        <v>161</v>
      </c>
    </row>
    <row r="34" spans="1:4" x14ac:dyDescent="0.3">
      <c r="A34" s="17" t="s">
        <v>180</v>
      </c>
      <c r="B34" s="17" t="s">
        <v>181</v>
      </c>
      <c r="C34" s="17" t="s">
        <v>182</v>
      </c>
      <c r="D34" s="17" t="s">
        <v>161</v>
      </c>
    </row>
    <row r="35" spans="1:4" x14ac:dyDescent="0.3">
      <c r="A35" s="17" t="s">
        <v>183</v>
      </c>
      <c r="B35" s="17" t="s">
        <v>184</v>
      </c>
      <c r="C35" s="17" t="s">
        <v>185</v>
      </c>
      <c r="D35" s="17" t="s">
        <v>161</v>
      </c>
    </row>
    <row r="36" spans="1:4" x14ac:dyDescent="0.3">
      <c r="A36" s="17" t="s">
        <v>186</v>
      </c>
      <c r="B36" s="17" t="s">
        <v>184</v>
      </c>
      <c r="C36" s="17" t="s">
        <v>187</v>
      </c>
      <c r="D36" s="17" t="s">
        <v>161</v>
      </c>
    </row>
    <row r="37" spans="1:4" x14ac:dyDescent="0.3">
      <c r="A37" s="17" t="s">
        <v>188</v>
      </c>
      <c r="B37" s="17" t="s">
        <v>184</v>
      </c>
      <c r="C37" s="17" t="s">
        <v>189</v>
      </c>
      <c r="D37" s="17" t="s">
        <v>161</v>
      </c>
    </row>
    <row r="38" spans="1:4" x14ac:dyDescent="0.3">
      <c r="A38" s="17" t="s">
        <v>190</v>
      </c>
      <c r="B38" s="17" t="s">
        <v>184</v>
      </c>
      <c r="C38" s="17" t="s">
        <v>191</v>
      </c>
      <c r="D38" s="17" t="s">
        <v>161</v>
      </c>
    </row>
    <row r="39" spans="1:4" x14ac:dyDescent="0.3">
      <c r="A39" s="17" t="s">
        <v>192</v>
      </c>
      <c r="B39" s="17" t="s">
        <v>184</v>
      </c>
      <c r="C39" s="17" t="s">
        <v>193</v>
      </c>
      <c r="D39" s="17" t="s">
        <v>161</v>
      </c>
    </row>
    <row r="40" spans="1:4" x14ac:dyDescent="0.3">
      <c r="A40" s="17" t="s">
        <v>194</v>
      </c>
      <c r="B40" s="17" t="s">
        <v>167</v>
      </c>
      <c r="C40" s="17" t="s">
        <v>195</v>
      </c>
      <c r="D40" s="17" t="s">
        <v>161</v>
      </c>
    </row>
    <row r="41" spans="1:4" x14ac:dyDescent="0.3">
      <c r="A41" s="17" t="s">
        <v>196</v>
      </c>
      <c r="B41" s="17" t="s">
        <v>167</v>
      </c>
      <c r="C41" s="17" t="s">
        <v>197</v>
      </c>
      <c r="D41" s="17" t="s">
        <v>161</v>
      </c>
    </row>
    <row r="42" spans="1:4" x14ac:dyDescent="0.3">
      <c r="A42" s="17" t="s">
        <v>198</v>
      </c>
      <c r="B42" s="17" t="s">
        <v>167</v>
      </c>
      <c r="C42" s="17" t="s">
        <v>199</v>
      </c>
      <c r="D42" s="17" t="s">
        <v>161</v>
      </c>
    </row>
    <row r="43" spans="1:4" x14ac:dyDescent="0.3">
      <c r="A43" s="17" t="s">
        <v>200</v>
      </c>
      <c r="B43" s="17" t="s">
        <v>167</v>
      </c>
      <c r="C43" s="17" t="s">
        <v>201</v>
      </c>
      <c r="D43" s="17" t="s">
        <v>161</v>
      </c>
    </row>
    <row r="44" spans="1:4" x14ac:dyDescent="0.3">
      <c r="A44" s="17" t="s">
        <v>202</v>
      </c>
      <c r="B44" s="17" t="s">
        <v>167</v>
      </c>
      <c r="C44" s="17" t="s">
        <v>203</v>
      </c>
      <c r="D44" s="17" t="s">
        <v>161</v>
      </c>
    </row>
    <row r="45" spans="1:4" x14ac:dyDescent="0.3">
      <c r="A45" s="17" t="s">
        <v>204</v>
      </c>
      <c r="B45" s="17" t="s">
        <v>167</v>
      </c>
      <c r="C45" s="17" t="s">
        <v>205</v>
      </c>
      <c r="D45" s="17" t="s">
        <v>161</v>
      </c>
    </row>
    <row r="46" spans="1:4" x14ac:dyDescent="0.3">
      <c r="A46" s="17" t="s">
        <v>206</v>
      </c>
      <c r="B46" s="17" t="s">
        <v>184</v>
      </c>
      <c r="C46" s="17" t="s">
        <v>207</v>
      </c>
      <c r="D46" s="17" t="s">
        <v>161</v>
      </c>
    </row>
    <row r="47" spans="1:4" x14ac:dyDescent="0.3">
      <c r="A47" s="17" t="s">
        <v>208</v>
      </c>
      <c r="B47" s="17" t="s">
        <v>184</v>
      </c>
      <c r="C47" s="17" t="s">
        <v>209</v>
      </c>
      <c r="D47" s="17" t="s">
        <v>161</v>
      </c>
    </row>
    <row r="48" spans="1:4" x14ac:dyDescent="0.3">
      <c r="A48" s="17" t="s">
        <v>210</v>
      </c>
      <c r="B48" s="17" t="s">
        <v>184</v>
      </c>
      <c r="C48" s="17" t="s">
        <v>211</v>
      </c>
      <c r="D48" s="17" t="s">
        <v>161</v>
      </c>
    </row>
    <row r="49" spans="1:6" x14ac:dyDescent="0.3">
      <c r="A49" s="17" t="s">
        <v>212</v>
      </c>
      <c r="B49" s="17" t="s">
        <v>172</v>
      </c>
      <c r="C49" s="17" t="s">
        <v>213</v>
      </c>
      <c r="D49" s="17" t="s">
        <v>161</v>
      </c>
    </row>
    <row r="50" spans="1:6" x14ac:dyDescent="0.3">
      <c r="A50" s="17" t="s">
        <v>214</v>
      </c>
      <c r="B50" s="17" t="s">
        <v>184</v>
      </c>
      <c r="C50" s="17" t="s">
        <v>215</v>
      </c>
      <c r="D50" s="17" t="s">
        <v>161</v>
      </c>
    </row>
    <row r="51" spans="1:6" x14ac:dyDescent="0.3">
      <c r="A51" s="17" t="s">
        <v>216</v>
      </c>
      <c r="B51" s="17" t="s">
        <v>184</v>
      </c>
      <c r="C51" s="17" t="s">
        <v>217</v>
      </c>
      <c r="D51" s="17" t="s">
        <v>161</v>
      </c>
    </row>
    <row r="52" spans="1:6" x14ac:dyDescent="0.3">
      <c r="A52" s="17" t="s">
        <v>218</v>
      </c>
      <c r="B52" s="17" t="s">
        <v>219</v>
      </c>
      <c r="C52" s="17" t="s">
        <v>220</v>
      </c>
      <c r="D52" s="17" t="s">
        <v>221</v>
      </c>
    </row>
    <row r="53" spans="1:6" x14ac:dyDescent="0.3">
      <c r="A53" s="17" t="s">
        <v>222</v>
      </c>
      <c r="B53" s="17" t="s">
        <v>219</v>
      </c>
      <c r="C53" s="17" t="s">
        <v>223</v>
      </c>
      <c r="D53" s="17" t="s">
        <v>221</v>
      </c>
    </row>
    <row r="54" spans="1:6" x14ac:dyDescent="0.3">
      <c r="A54" s="17" t="s">
        <v>224</v>
      </c>
      <c r="B54" s="17" t="s">
        <v>225</v>
      </c>
      <c r="C54" s="17" t="s">
        <v>226</v>
      </c>
      <c r="D54" s="17" t="s">
        <v>227</v>
      </c>
    </row>
    <row r="55" spans="1:6" x14ac:dyDescent="0.3">
      <c r="A55" s="17" t="s">
        <v>228</v>
      </c>
      <c r="B55" s="17" t="s">
        <v>229</v>
      </c>
      <c r="C55" s="17" t="s">
        <v>230</v>
      </c>
      <c r="D55" s="17" t="s">
        <v>231</v>
      </c>
    </row>
    <row r="56" spans="1:6" x14ac:dyDescent="0.3">
      <c r="A56" s="17" t="s">
        <v>232</v>
      </c>
      <c r="B56" s="17" t="s">
        <v>233</v>
      </c>
      <c r="C56" s="17" t="s">
        <v>234</v>
      </c>
      <c r="D56" s="17" t="s">
        <v>235</v>
      </c>
    </row>
    <row r="58" spans="1:6" x14ac:dyDescent="0.3">
      <c r="A58" s="15" t="s">
        <v>236</v>
      </c>
      <c r="B58" s="15"/>
      <c r="C58" s="15"/>
      <c r="D58" s="15"/>
    </row>
    <row r="59" spans="1:6" x14ac:dyDescent="0.3">
      <c r="A59" s="16" t="s">
        <v>149</v>
      </c>
      <c r="B59" s="16" t="s">
        <v>237</v>
      </c>
      <c r="C59" s="16" t="s">
        <v>238</v>
      </c>
      <c r="D59" s="16" t="s">
        <v>239</v>
      </c>
      <c r="E59" s="16" t="s">
        <v>240</v>
      </c>
      <c r="F59" s="16" t="s">
        <v>241</v>
      </c>
    </row>
    <row r="60" spans="1:6" x14ac:dyDescent="0.3">
      <c r="A60" s="18" t="s">
        <v>242</v>
      </c>
      <c r="B60" s="18">
        <v>35</v>
      </c>
      <c r="C60" s="18">
        <v>9</v>
      </c>
      <c r="D60" s="18">
        <v>26</v>
      </c>
      <c r="E60" s="18">
        <v>74.3</v>
      </c>
      <c r="F60" s="18" t="s">
        <v>243</v>
      </c>
    </row>
    <row r="61" spans="1:6" x14ac:dyDescent="0.3">
      <c r="A61" s="19" t="s">
        <v>244</v>
      </c>
      <c r="B61" s="19">
        <v>35</v>
      </c>
      <c r="C61" s="19">
        <v>19</v>
      </c>
      <c r="D61" s="19">
        <v>16</v>
      </c>
      <c r="E61" s="19">
        <v>45.7</v>
      </c>
      <c r="F61" s="19" t="s">
        <v>245</v>
      </c>
    </row>
    <row r="62" spans="1:6" x14ac:dyDescent="0.3">
      <c r="A62" s="19" t="s">
        <v>246</v>
      </c>
      <c r="B62" s="19">
        <v>35</v>
      </c>
      <c r="C62" s="19">
        <v>34</v>
      </c>
      <c r="D62" s="19">
        <v>1</v>
      </c>
      <c r="E62" s="19">
        <v>2.9</v>
      </c>
      <c r="F62" s="19" t="s">
        <v>245</v>
      </c>
    </row>
    <row r="63" spans="1:6" x14ac:dyDescent="0.3">
      <c r="A63" s="19" t="s">
        <v>247</v>
      </c>
      <c r="B63" s="19">
        <v>35</v>
      </c>
      <c r="C63" s="19">
        <v>34</v>
      </c>
      <c r="D63" s="19">
        <v>1</v>
      </c>
      <c r="E63" s="19">
        <v>2.9</v>
      </c>
      <c r="F63" s="19" t="s">
        <v>245</v>
      </c>
    </row>
    <row r="64" spans="1:6" x14ac:dyDescent="0.3">
      <c r="A64" s="17" t="s">
        <v>248</v>
      </c>
      <c r="B64" s="17">
        <v>35</v>
      </c>
      <c r="C64" s="17">
        <v>35</v>
      </c>
      <c r="D64" s="17">
        <v>0</v>
      </c>
      <c r="E64" s="17">
        <v>0</v>
      </c>
      <c r="F64" s="17" t="s">
        <v>249</v>
      </c>
    </row>
    <row r="65" spans="1:6" x14ac:dyDescent="0.3">
      <c r="A65" s="17" t="s">
        <v>250</v>
      </c>
      <c r="B65" s="17">
        <v>35</v>
      </c>
      <c r="C65" s="17">
        <v>35</v>
      </c>
      <c r="D65" s="17">
        <v>0</v>
      </c>
      <c r="E65" s="17">
        <v>0</v>
      </c>
      <c r="F65" s="17" t="s">
        <v>249</v>
      </c>
    </row>
    <row r="66" spans="1:6" x14ac:dyDescent="0.3">
      <c r="A66" s="17" t="s">
        <v>251</v>
      </c>
      <c r="B66" s="17">
        <v>35</v>
      </c>
      <c r="C66" s="17">
        <v>35</v>
      </c>
      <c r="D66" s="17">
        <v>0</v>
      </c>
      <c r="E66" s="17">
        <v>0</v>
      </c>
      <c r="F66" s="17" t="s">
        <v>249</v>
      </c>
    </row>
    <row r="67" spans="1:6" x14ac:dyDescent="0.3">
      <c r="A67" s="17" t="s">
        <v>252</v>
      </c>
      <c r="B67" s="17">
        <v>35</v>
      </c>
      <c r="C67" s="17">
        <v>35</v>
      </c>
      <c r="D67" s="17">
        <v>0</v>
      </c>
      <c r="E67" s="17">
        <v>0</v>
      </c>
      <c r="F67" s="17" t="s">
        <v>249</v>
      </c>
    </row>
    <row r="68" spans="1:6" x14ac:dyDescent="0.3">
      <c r="A68" s="17" t="s">
        <v>253</v>
      </c>
      <c r="B68" s="17">
        <v>35</v>
      </c>
      <c r="C68" s="17">
        <v>35</v>
      </c>
      <c r="D68" s="17">
        <v>0</v>
      </c>
      <c r="E68" s="17">
        <v>0</v>
      </c>
      <c r="F68" s="17" t="s">
        <v>249</v>
      </c>
    </row>
    <row r="69" spans="1:6" x14ac:dyDescent="0.3">
      <c r="A69" s="17" t="s">
        <v>254</v>
      </c>
      <c r="B69" s="17">
        <v>35</v>
      </c>
      <c r="C69" s="17">
        <v>35</v>
      </c>
      <c r="D69" s="17">
        <v>0</v>
      </c>
      <c r="E69" s="17">
        <v>0</v>
      </c>
      <c r="F69" s="17" t="s">
        <v>249</v>
      </c>
    </row>
    <row r="70" spans="1:6" x14ac:dyDescent="0.3">
      <c r="A70" s="17" t="s">
        <v>255</v>
      </c>
      <c r="B70" s="17">
        <v>35</v>
      </c>
      <c r="C70" s="17">
        <v>35</v>
      </c>
      <c r="D70" s="17">
        <v>0</v>
      </c>
      <c r="E70" s="17">
        <v>0</v>
      </c>
      <c r="F70" s="17" t="s">
        <v>249</v>
      </c>
    </row>
    <row r="71" spans="1:6" x14ac:dyDescent="0.3">
      <c r="A71" s="17" t="s">
        <v>256</v>
      </c>
      <c r="B71" s="17">
        <v>35</v>
      </c>
      <c r="C71" s="17">
        <v>35</v>
      </c>
      <c r="D71" s="17">
        <v>0</v>
      </c>
      <c r="E71" s="17">
        <v>0</v>
      </c>
      <c r="F71" s="17" t="s">
        <v>249</v>
      </c>
    </row>
    <row r="72" spans="1:6" x14ac:dyDescent="0.3">
      <c r="A72" s="17" t="s">
        <v>257</v>
      </c>
      <c r="B72" s="17">
        <v>35</v>
      </c>
      <c r="C72" s="17">
        <v>35</v>
      </c>
      <c r="D72" s="17">
        <v>0</v>
      </c>
      <c r="E72" s="17">
        <v>0</v>
      </c>
      <c r="F72" s="17" t="s">
        <v>249</v>
      </c>
    </row>
    <row r="73" spans="1:6" x14ac:dyDescent="0.3">
      <c r="A73" s="17" t="s">
        <v>258</v>
      </c>
      <c r="B73" s="17">
        <v>35</v>
      </c>
      <c r="C73" s="17">
        <v>35</v>
      </c>
      <c r="D73" s="17">
        <v>0</v>
      </c>
      <c r="E73" s="17">
        <v>0</v>
      </c>
      <c r="F73" s="17" t="s">
        <v>249</v>
      </c>
    </row>
    <row r="74" spans="1:6" x14ac:dyDescent="0.3">
      <c r="A74" s="17" t="s">
        <v>259</v>
      </c>
      <c r="B74" s="17">
        <v>35</v>
      </c>
      <c r="C74" s="17">
        <v>35</v>
      </c>
      <c r="D74" s="17">
        <v>0</v>
      </c>
      <c r="E74" s="17">
        <v>0</v>
      </c>
      <c r="F74" s="17" t="s">
        <v>249</v>
      </c>
    </row>
    <row r="75" spans="1:6" x14ac:dyDescent="0.3">
      <c r="A75" s="17" t="s">
        <v>260</v>
      </c>
      <c r="B75" s="17">
        <v>35</v>
      </c>
      <c r="C75" s="17">
        <v>35</v>
      </c>
      <c r="D75" s="17">
        <v>0</v>
      </c>
      <c r="E75" s="17">
        <v>0</v>
      </c>
      <c r="F75" s="17" t="s">
        <v>249</v>
      </c>
    </row>
    <row r="76" spans="1:6" x14ac:dyDescent="0.3">
      <c r="A76" s="17" t="s">
        <v>261</v>
      </c>
      <c r="B76" s="17">
        <v>35</v>
      </c>
      <c r="C76" s="17">
        <v>35</v>
      </c>
      <c r="D76" s="17">
        <v>0</v>
      </c>
      <c r="E76" s="17">
        <v>0</v>
      </c>
      <c r="F76" s="17" t="s">
        <v>249</v>
      </c>
    </row>
    <row r="77" spans="1:6" x14ac:dyDescent="0.3">
      <c r="A77" s="17" t="s">
        <v>262</v>
      </c>
      <c r="B77" s="17">
        <v>35</v>
      </c>
      <c r="C77" s="17">
        <v>35</v>
      </c>
      <c r="D77" s="17">
        <v>0</v>
      </c>
      <c r="E77" s="17">
        <v>0</v>
      </c>
      <c r="F77" s="17" t="s">
        <v>249</v>
      </c>
    </row>
    <row r="78" spans="1:6" x14ac:dyDescent="0.3">
      <c r="A78" s="17" t="s">
        <v>263</v>
      </c>
      <c r="B78" s="17">
        <v>35</v>
      </c>
      <c r="C78" s="17">
        <v>35</v>
      </c>
      <c r="D78" s="17">
        <v>0</v>
      </c>
      <c r="E78" s="17">
        <v>0</v>
      </c>
      <c r="F78" s="17" t="s">
        <v>249</v>
      </c>
    </row>
    <row r="79" spans="1:6" x14ac:dyDescent="0.3">
      <c r="A79" s="17" t="s">
        <v>264</v>
      </c>
      <c r="B79" s="17">
        <v>35</v>
      </c>
      <c r="C79" s="17">
        <v>35</v>
      </c>
      <c r="D79" s="17">
        <v>0</v>
      </c>
      <c r="E79" s="17">
        <v>0</v>
      </c>
      <c r="F79" s="17" t="s">
        <v>249</v>
      </c>
    </row>
    <row r="80" spans="1:6" x14ac:dyDescent="0.3">
      <c r="A80" s="17" t="s">
        <v>265</v>
      </c>
      <c r="B80" s="17">
        <v>35</v>
      </c>
      <c r="C80" s="17">
        <v>35</v>
      </c>
      <c r="D80" s="17">
        <v>0</v>
      </c>
      <c r="E80" s="17">
        <v>0</v>
      </c>
      <c r="F80" s="17" t="s">
        <v>249</v>
      </c>
    </row>
    <row r="81" spans="1:6" x14ac:dyDescent="0.3">
      <c r="A81" s="17" t="s">
        <v>266</v>
      </c>
      <c r="B81" s="17">
        <v>35</v>
      </c>
      <c r="C81" s="17">
        <v>35</v>
      </c>
      <c r="D81" s="17">
        <v>0</v>
      </c>
      <c r="E81" s="17">
        <v>0</v>
      </c>
      <c r="F81" s="17" t="s">
        <v>249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>
      <selection activeCell="C42" sqref="C42"/>
    </sheetView>
  </sheetViews>
  <sheetFormatPr defaultColWidth="11.5546875" defaultRowHeight="14.4" x14ac:dyDescent="0.3"/>
  <cols>
    <col min="3" max="3" width="12.88671875" customWidth="1"/>
  </cols>
  <sheetData>
    <row r="1" spans="1:9" x14ac:dyDescent="0.3">
      <c r="A1" t="s">
        <v>13</v>
      </c>
      <c r="B1" t="s">
        <v>10</v>
      </c>
      <c r="C1" t="s">
        <v>11</v>
      </c>
      <c r="D1" t="s">
        <v>12</v>
      </c>
      <c r="I1" t="str">
        <f t="array" ref="I1">IFERROR(REPLACE(INDEX(SheetNames,ROW(A1)),1,FIND("]",INDEX(SheetNames,ROW(A1))),""),"")</f>
        <v/>
      </c>
    </row>
    <row r="2" spans="1:9" x14ac:dyDescent="0.3">
      <c r="A2">
        <v>1</v>
      </c>
      <c r="B2" t="s">
        <v>35</v>
      </c>
      <c r="C2" t="s">
        <v>36</v>
      </c>
    </row>
    <row r="3" spans="1:9" x14ac:dyDescent="0.3">
      <c r="A3">
        <v>2</v>
      </c>
      <c r="B3" s="1" t="s">
        <v>23</v>
      </c>
      <c r="C3" s="1" t="s">
        <v>24</v>
      </c>
      <c r="D3" t="s">
        <v>53</v>
      </c>
    </row>
    <row r="4" spans="1:9" x14ac:dyDescent="0.3">
      <c r="A4">
        <v>3</v>
      </c>
      <c r="B4" t="s">
        <v>44</v>
      </c>
      <c r="C4" t="s">
        <v>52</v>
      </c>
      <c r="D4" t="s">
        <v>39</v>
      </c>
    </row>
    <row r="5" spans="1:9" x14ac:dyDescent="0.3">
      <c r="A5">
        <v>4</v>
      </c>
      <c r="B5" t="s">
        <v>8</v>
      </c>
      <c r="C5" t="s">
        <v>9</v>
      </c>
    </row>
    <row r="6" spans="1:9" x14ac:dyDescent="0.3">
      <c r="A6">
        <v>5</v>
      </c>
      <c r="B6" t="s">
        <v>21</v>
      </c>
      <c r="C6" t="s">
        <v>22</v>
      </c>
    </row>
    <row r="7" spans="1:9" x14ac:dyDescent="0.3">
      <c r="A7">
        <v>6</v>
      </c>
      <c r="B7" t="s">
        <v>45</v>
      </c>
      <c r="C7" t="s">
        <v>46</v>
      </c>
    </row>
    <row r="8" spans="1:9" x14ac:dyDescent="0.3">
      <c r="A8">
        <v>7</v>
      </c>
      <c r="B8" t="s">
        <v>47</v>
      </c>
      <c r="C8" t="s">
        <v>48</v>
      </c>
      <c r="D8" t="s">
        <v>53</v>
      </c>
    </row>
    <row r="9" spans="1:9" x14ac:dyDescent="0.3">
      <c r="A9">
        <v>8</v>
      </c>
      <c r="B9" t="s">
        <v>25</v>
      </c>
      <c r="C9" t="s">
        <v>26</v>
      </c>
      <c r="D9" t="s">
        <v>39</v>
      </c>
      <c r="E9" t="s">
        <v>54</v>
      </c>
    </row>
    <row r="10" spans="1:9" x14ac:dyDescent="0.3">
      <c r="A10">
        <v>9</v>
      </c>
      <c r="B10" t="s">
        <v>27</v>
      </c>
      <c r="C10" t="s">
        <v>28</v>
      </c>
    </row>
    <row r="11" spans="1:9" x14ac:dyDescent="0.3">
      <c r="A11">
        <v>10</v>
      </c>
      <c r="B11" t="s">
        <v>70</v>
      </c>
      <c r="C11" t="s">
        <v>104</v>
      </c>
    </row>
    <row r="12" spans="1:9" x14ac:dyDescent="0.3">
      <c r="A12">
        <v>11</v>
      </c>
      <c r="B12" t="s">
        <v>0</v>
      </c>
      <c r="C12" t="s">
        <v>1</v>
      </c>
    </row>
    <row r="13" spans="1:9" x14ac:dyDescent="0.3">
      <c r="A13">
        <v>12</v>
      </c>
      <c r="B13" t="s">
        <v>55</v>
      </c>
      <c r="C13" t="s">
        <v>51</v>
      </c>
      <c r="D13" t="s">
        <v>39</v>
      </c>
    </row>
    <row r="14" spans="1:9" x14ac:dyDescent="0.3">
      <c r="A14">
        <v>13</v>
      </c>
      <c r="B14" t="s">
        <v>4</v>
      </c>
      <c r="C14" t="s">
        <v>5</v>
      </c>
      <c r="D14" t="s">
        <v>39</v>
      </c>
    </row>
    <row r="15" spans="1:9" x14ac:dyDescent="0.3">
      <c r="A15">
        <v>14</v>
      </c>
      <c r="B15" t="s">
        <v>40</v>
      </c>
      <c r="C15" t="s">
        <v>41</v>
      </c>
      <c r="D15" t="s">
        <v>39</v>
      </c>
    </row>
    <row r="16" spans="1:9" x14ac:dyDescent="0.3">
      <c r="A16">
        <v>15</v>
      </c>
      <c r="B16" t="s">
        <v>14</v>
      </c>
      <c r="C16" t="s">
        <v>15</v>
      </c>
    </row>
    <row r="17" spans="1:5" x14ac:dyDescent="0.3">
      <c r="A17">
        <v>16</v>
      </c>
      <c r="B17" t="s">
        <v>29</v>
      </c>
      <c r="C17" t="s">
        <v>30</v>
      </c>
    </row>
    <row r="18" spans="1:5" x14ac:dyDescent="0.3">
      <c r="A18">
        <v>17</v>
      </c>
      <c r="B18" t="s">
        <v>2</v>
      </c>
      <c r="C18" t="s">
        <v>3</v>
      </c>
      <c r="D18" t="s">
        <v>39</v>
      </c>
      <c r="E18" t="s">
        <v>20</v>
      </c>
    </row>
    <row r="19" spans="1:5" x14ac:dyDescent="0.3">
      <c r="A19">
        <v>18</v>
      </c>
      <c r="B19" t="s">
        <v>31</v>
      </c>
      <c r="C19" t="s">
        <v>32</v>
      </c>
      <c r="D19" t="s">
        <v>39</v>
      </c>
    </row>
    <row r="20" spans="1:5" x14ac:dyDescent="0.3">
      <c r="A20">
        <v>19</v>
      </c>
      <c r="B20" t="s">
        <v>49</v>
      </c>
      <c r="C20" t="s">
        <v>50</v>
      </c>
    </row>
    <row r="21" spans="1:5" x14ac:dyDescent="0.3">
      <c r="A21">
        <v>20</v>
      </c>
      <c r="B21" t="s">
        <v>37</v>
      </c>
      <c r="C21" t="s">
        <v>38</v>
      </c>
      <c r="D21" t="s">
        <v>39</v>
      </c>
    </row>
    <row r="22" spans="1:5" x14ac:dyDescent="0.3">
      <c r="A22">
        <v>21</v>
      </c>
      <c r="B22" t="s">
        <v>33</v>
      </c>
      <c r="C22" t="s">
        <v>34</v>
      </c>
    </row>
    <row r="23" spans="1:5" x14ac:dyDescent="0.3">
      <c r="A23">
        <v>22</v>
      </c>
      <c r="B23" t="s">
        <v>6</v>
      </c>
      <c r="C23" t="s">
        <v>7</v>
      </c>
    </row>
    <row r="27" spans="1:5" x14ac:dyDescent="0.3">
      <c r="B27" t="s">
        <v>71</v>
      </c>
      <c r="C27" t="s">
        <v>106</v>
      </c>
      <c r="D27" t="s">
        <v>107</v>
      </c>
    </row>
    <row r="28" spans="1:5" x14ac:dyDescent="0.3">
      <c r="B28" t="s">
        <v>74</v>
      </c>
      <c r="C28" t="s">
        <v>105</v>
      </c>
      <c r="D28" t="s">
        <v>107</v>
      </c>
    </row>
    <row r="29" spans="1:5" x14ac:dyDescent="0.3">
      <c r="B29" s="1" t="s">
        <v>18</v>
      </c>
      <c r="C29" s="1" t="s">
        <v>19</v>
      </c>
      <c r="D29" s="1" t="s">
        <v>108</v>
      </c>
    </row>
    <row r="30" spans="1:5" x14ac:dyDescent="0.3">
      <c r="B30" s="1" t="s">
        <v>16</v>
      </c>
      <c r="C30" s="1" t="s">
        <v>17</v>
      </c>
      <c r="D30" s="1" t="s">
        <v>108</v>
      </c>
    </row>
    <row r="31" spans="1:5" x14ac:dyDescent="0.3">
      <c r="B31" t="s">
        <v>42</v>
      </c>
      <c r="C31" t="s">
        <v>43</v>
      </c>
      <c r="D31" s="1" t="s">
        <v>109</v>
      </c>
    </row>
  </sheetData>
  <autoFilter ref="A1:D10" xr:uid="{00000000-0001-0000-0000-000000000000}">
    <sortState xmlns:xlrd2="http://schemas.microsoft.com/office/spreadsheetml/2017/richdata2" ref="A2:D16">
      <sortCondition ref="B1:B10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>
      <selection activeCell="G13" sqref="G13"/>
    </sheetView>
  </sheetViews>
  <sheetFormatPr defaultColWidth="11.5546875" defaultRowHeight="14.4" x14ac:dyDescent="0.3"/>
  <cols>
    <col min="1" max="1" width="7.6640625" customWidth="1"/>
    <col min="2" max="2" width="9.6640625" customWidth="1"/>
    <col min="3" max="3" width="11.6640625" customWidth="1"/>
    <col min="4" max="4" width="12.6640625" customWidth="1"/>
  </cols>
  <sheetData>
    <row r="1" spans="1:4" x14ac:dyDescent="0.3">
      <c r="A1" s="2" t="s">
        <v>56</v>
      </c>
      <c r="B1" s="2" t="s">
        <v>57</v>
      </c>
      <c r="C1" s="2" t="s">
        <v>58</v>
      </c>
      <c r="D1" s="2" t="s">
        <v>59</v>
      </c>
    </row>
    <row r="2" spans="1:4" x14ac:dyDescent="0.3">
      <c r="A2" s="3" t="s">
        <v>60</v>
      </c>
      <c r="B2" s="4">
        <v>0.86129999999999995</v>
      </c>
      <c r="C2" s="4">
        <v>2.1700000000000001E-2</v>
      </c>
      <c r="D2" s="4">
        <v>0.502</v>
      </c>
    </row>
    <row r="3" spans="1:4" x14ac:dyDescent="0.3">
      <c r="A3" s="3" t="s">
        <v>61</v>
      </c>
      <c r="B3" s="4">
        <v>0.48249999999999998</v>
      </c>
      <c r="C3" s="4">
        <v>0.12379999999999999</v>
      </c>
      <c r="D3" s="4">
        <v>0.2268</v>
      </c>
    </row>
    <row r="4" spans="1:4" x14ac:dyDescent="0.3">
      <c r="A4" s="3" t="s">
        <v>62</v>
      </c>
      <c r="B4" s="4">
        <v>0.30099999999999999</v>
      </c>
      <c r="C4" s="4">
        <v>0.29339999999999999</v>
      </c>
      <c r="D4" s="4">
        <v>0.3513</v>
      </c>
    </row>
    <row r="5" spans="1:4" x14ac:dyDescent="0.3">
      <c r="A5" s="3" t="s">
        <v>63</v>
      </c>
      <c r="B5" s="4">
        <v>0.73909999999999998</v>
      </c>
      <c r="C5" s="4">
        <v>2.1999999999999999E-2</v>
      </c>
      <c r="D5" s="4">
        <v>0.3987</v>
      </c>
    </row>
    <row r="6" spans="1:4" x14ac:dyDescent="0.3">
      <c r="A6" s="3" t="s">
        <v>64</v>
      </c>
      <c r="B6" s="4">
        <v>0.93920000000000003</v>
      </c>
      <c r="C6" s="4">
        <v>7.0099999999999996E-2</v>
      </c>
      <c r="D6" s="4">
        <v>0.35260000000000002</v>
      </c>
    </row>
    <row r="7" spans="1:4" x14ac:dyDescent="0.3">
      <c r="A7" s="3" t="s">
        <v>65</v>
      </c>
      <c r="B7" s="4">
        <v>0.72289999999999999</v>
      </c>
      <c r="C7" s="4">
        <v>0.29270000000000002</v>
      </c>
      <c r="D7" s="4">
        <v>0.2974</v>
      </c>
    </row>
    <row r="8" spans="1:4" x14ac:dyDescent="0.3">
      <c r="A8" s="3" t="s">
        <v>66</v>
      </c>
      <c r="B8" s="4">
        <v>0.54859999999999998</v>
      </c>
      <c r="C8" s="4">
        <v>1.78E-2</v>
      </c>
      <c r="D8" s="4">
        <v>0.14910000000000001</v>
      </c>
    </row>
    <row r="9" spans="1:4" x14ac:dyDescent="0.3">
      <c r="A9" s="3" t="s">
        <v>67</v>
      </c>
      <c r="B9" s="4">
        <v>0.70650000000000002</v>
      </c>
      <c r="C9" s="4">
        <v>0.66639999999999999</v>
      </c>
      <c r="D9" s="4">
        <v>0.37469999999999998</v>
      </c>
    </row>
    <row r="10" spans="1:4" x14ac:dyDescent="0.3">
      <c r="A10" s="3" t="s">
        <v>68</v>
      </c>
      <c r="B10" s="4">
        <v>0.59240000000000004</v>
      </c>
      <c r="C10" s="4">
        <v>0.36659999999999998</v>
      </c>
      <c r="D10" s="4">
        <v>0.56200000000000006</v>
      </c>
    </row>
    <row r="11" spans="1:4" x14ac:dyDescent="0.3">
      <c r="A11" s="3" t="s">
        <v>69</v>
      </c>
      <c r="B11" s="4">
        <v>0.97670000000000001</v>
      </c>
      <c r="C11" s="4">
        <v>0.74490000000000001</v>
      </c>
      <c r="D11" s="4">
        <v>0.69179999999999997</v>
      </c>
    </row>
    <row r="12" spans="1:4" x14ac:dyDescent="0.3">
      <c r="A12" s="3" t="s">
        <v>70</v>
      </c>
      <c r="B12" s="4">
        <v>0.36919999999999997</v>
      </c>
      <c r="C12" s="4">
        <v>0.2387</v>
      </c>
      <c r="D12" s="4">
        <v>0.32050000000000001</v>
      </c>
    </row>
    <row r="13" spans="1:4" x14ac:dyDescent="0.3">
      <c r="A13" s="3" t="s">
        <v>71</v>
      </c>
      <c r="B13" s="4">
        <v>0.48430000000000001</v>
      </c>
      <c r="C13" s="4">
        <v>0.10580000000000001</v>
      </c>
      <c r="D13" s="4">
        <v>0.13339999999999999</v>
      </c>
    </row>
    <row r="14" spans="1:4" x14ac:dyDescent="0.3">
      <c r="A14" s="3" t="s">
        <v>72</v>
      </c>
      <c r="B14" s="4">
        <v>0.4108</v>
      </c>
      <c r="C14" s="4">
        <v>0.19689999999999999</v>
      </c>
      <c r="D14" s="4">
        <v>0.31490000000000001</v>
      </c>
    </row>
    <row r="15" spans="1:4" x14ac:dyDescent="0.3">
      <c r="A15" s="3" t="s">
        <v>73</v>
      </c>
      <c r="B15" s="4">
        <v>5.1799999999999999E-2</v>
      </c>
      <c r="C15" s="4">
        <v>5.1799999999999999E-2</v>
      </c>
      <c r="D15" s="4">
        <v>0.35170000000000001</v>
      </c>
    </row>
    <row r="16" spans="1:4" x14ac:dyDescent="0.3">
      <c r="A16" s="3" t="s">
        <v>74</v>
      </c>
      <c r="B16" s="4">
        <v>0.16270000000000001</v>
      </c>
      <c r="C16" s="4">
        <v>0.16259999999999999</v>
      </c>
      <c r="D16" s="4">
        <v>0.2329</v>
      </c>
    </row>
    <row r="17" spans="1:4" x14ac:dyDescent="0.3">
      <c r="A17" s="3" t="s">
        <v>75</v>
      </c>
      <c r="B17" s="4">
        <v>0.95440000000000003</v>
      </c>
      <c r="C17" s="4">
        <v>2.2800000000000001E-2</v>
      </c>
      <c r="D17" s="4">
        <v>0.1026</v>
      </c>
    </row>
    <row r="18" spans="1:4" x14ac:dyDescent="0.3">
      <c r="A18" s="3" t="s">
        <v>76</v>
      </c>
      <c r="B18" s="4">
        <v>0.16520000000000001</v>
      </c>
      <c r="C18" s="4">
        <v>4.1099999999999998E-2</v>
      </c>
      <c r="D18" s="4">
        <v>0.33210000000000001</v>
      </c>
    </row>
    <row r="19" spans="1:4" x14ac:dyDescent="0.3">
      <c r="A19" s="3" t="s">
        <v>77</v>
      </c>
      <c r="B19" s="4">
        <v>0.69</v>
      </c>
      <c r="C19" s="4">
        <v>0.45100000000000001</v>
      </c>
      <c r="D19" s="4">
        <v>0.34010000000000001</v>
      </c>
    </row>
    <row r="20" spans="1:4" x14ac:dyDescent="0.3">
      <c r="A20" s="3" t="s">
        <v>78</v>
      </c>
      <c r="B20" s="4">
        <v>0.57469999999999999</v>
      </c>
      <c r="C20" s="4">
        <v>0.50060000000000004</v>
      </c>
      <c r="D20" s="4">
        <v>0.52680000000000005</v>
      </c>
    </row>
    <row r="21" spans="1:4" x14ac:dyDescent="0.3">
      <c r="A21" s="3" t="s">
        <v>79</v>
      </c>
      <c r="B21" s="4">
        <v>0.76629999999999998</v>
      </c>
      <c r="C21" s="4">
        <v>0.58230000000000004</v>
      </c>
      <c r="D21" s="4">
        <v>0.11269999999999999</v>
      </c>
    </row>
    <row r="22" spans="1:4" x14ac:dyDescent="0.3">
      <c r="A22" s="3" t="s">
        <v>80</v>
      </c>
      <c r="B22" s="4">
        <v>0.73419999999999996</v>
      </c>
      <c r="C22" s="4">
        <v>0.29120000000000001</v>
      </c>
      <c r="D22" s="4">
        <v>0.37640000000000001</v>
      </c>
    </row>
    <row r="23" spans="1:4" x14ac:dyDescent="0.3">
      <c r="A23" s="3" t="s">
        <v>86</v>
      </c>
      <c r="B23" s="4">
        <v>0.89970000000000006</v>
      </c>
      <c r="C23" s="4">
        <v>0.86370000000000002</v>
      </c>
      <c r="D23" s="4">
        <v>0.2989</v>
      </c>
    </row>
    <row r="24" spans="1:4" x14ac:dyDescent="0.3">
      <c r="A24" s="3" t="s">
        <v>81</v>
      </c>
      <c r="B24" s="4">
        <v>0.29730000000000001</v>
      </c>
      <c r="C24" s="4">
        <v>0.29399999999999998</v>
      </c>
      <c r="D24" s="4">
        <v>0.30859999999999999</v>
      </c>
    </row>
    <row r="25" spans="1:4" x14ac:dyDescent="0.3">
      <c r="A25" s="3" t="s">
        <v>82</v>
      </c>
      <c r="B25" s="4">
        <v>0.3649</v>
      </c>
      <c r="C25" s="4">
        <v>2.0000000000000001E-4</v>
      </c>
      <c r="D25" s="4">
        <v>0.29210000000000003</v>
      </c>
    </row>
    <row r="26" spans="1:4" x14ac:dyDescent="0.3">
      <c r="A26" s="3" t="s">
        <v>83</v>
      </c>
      <c r="B26" s="4">
        <v>0.36580000000000001</v>
      </c>
      <c r="C26" s="4">
        <v>2.9100000000000001E-2</v>
      </c>
      <c r="D26" s="4">
        <v>0.44719999999999999</v>
      </c>
    </row>
    <row r="27" spans="1:4" x14ac:dyDescent="0.3">
      <c r="A27" s="3" t="s">
        <v>84</v>
      </c>
      <c r="B27" s="4">
        <v>0.3387</v>
      </c>
      <c r="C27" s="4">
        <v>1.9800000000000002E-2</v>
      </c>
      <c r="D27" s="4">
        <v>0.5998</v>
      </c>
    </row>
    <row r="28" spans="1:4" x14ac:dyDescent="0.3">
      <c r="A28" s="3" t="s">
        <v>85</v>
      </c>
      <c r="B28" s="4">
        <v>0.95699999999999996</v>
      </c>
      <c r="C28" s="4">
        <v>0.52010000000000001</v>
      </c>
      <c r="D28" s="4">
        <v>0.62619999999999998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.109375" customWidth="1"/>
    <col min="2" max="2" width="11.77734375" customWidth="1"/>
    <col min="3" max="3" width="4.109375" customWidth="1"/>
    <col min="4" max="4" width="5.88671875" customWidth="1"/>
    <col min="5" max="5" width="6.77734375" customWidth="1"/>
    <col min="6" max="6" width="7.77734375" customWidth="1"/>
    <col min="7" max="7" width="8.77734375" customWidth="1"/>
    <col min="8" max="8" width="5" customWidth="1"/>
    <col min="9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99</v>
      </c>
      <c r="C2" s="13" t="s">
        <v>100</v>
      </c>
      <c r="D2" s="6">
        <v>200</v>
      </c>
      <c r="E2" s="6"/>
      <c r="F2" s="6">
        <v>9.3060000000000004E-2</v>
      </c>
      <c r="G2" s="6">
        <v>5.1479999999999998E-3</v>
      </c>
      <c r="H2" s="6"/>
      <c r="I2" s="6">
        <v>1.8612E-2</v>
      </c>
      <c r="J2" s="6">
        <v>1.0296000000000001E-3</v>
      </c>
      <c r="K2" s="6">
        <v>3892.5178597334402</v>
      </c>
      <c r="L2" s="6">
        <v>5.1380624882655303E-2</v>
      </c>
    </row>
    <row r="3" spans="1:12" x14ac:dyDescent="0.3">
      <c r="A3" s="11">
        <v>1991</v>
      </c>
      <c r="B3" s="14" t="s">
        <v>99</v>
      </c>
      <c r="C3" s="14" t="s">
        <v>100</v>
      </c>
      <c r="D3" s="7">
        <v>53</v>
      </c>
      <c r="E3" s="7"/>
      <c r="F3" s="7">
        <v>9.3060000000000004E-2</v>
      </c>
      <c r="G3" s="7">
        <v>5.1479999999999998E-3</v>
      </c>
      <c r="H3" s="7"/>
      <c r="I3" s="7">
        <v>4.9321800000000004E-3</v>
      </c>
      <c r="J3" s="7">
        <v>2.7284400000000001E-4</v>
      </c>
      <c r="K3" s="7">
        <v>3900.1819139415302</v>
      </c>
      <c r="L3" s="7">
        <v>1.35891097311505E-2</v>
      </c>
    </row>
    <row r="4" spans="1:12" x14ac:dyDescent="0.3">
      <c r="A4" s="11">
        <v>1992</v>
      </c>
      <c r="B4" s="14" t="s">
        <v>99</v>
      </c>
      <c r="C4" s="14" t="s">
        <v>100</v>
      </c>
      <c r="D4" s="7">
        <v>132</v>
      </c>
      <c r="E4" s="7"/>
      <c r="F4" s="7">
        <v>9.3060000000000004E-2</v>
      </c>
      <c r="G4" s="7">
        <v>5.1479999999999998E-3</v>
      </c>
      <c r="H4" s="7"/>
      <c r="I4" s="7">
        <v>1.228392E-2</v>
      </c>
      <c r="J4" s="7">
        <v>6.7953600000000001E-4</v>
      </c>
      <c r="K4" s="7">
        <v>3907.8459681496201</v>
      </c>
      <c r="L4" s="7">
        <v>3.3778199313854403E-2</v>
      </c>
    </row>
    <row r="5" spans="1:12" x14ac:dyDescent="0.3">
      <c r="A5" s="11">
        <v>1993</v>
      </c>
      <c r="B5" s="14" t="s">
        <v>99</v>
      </c>
      <c r="C5" s="14" t="s">
        <v>100</v>
      </c>
      <c r="D5" s="7">
        <v>112</v>
      </c>
      <c r="E5" s="7"/>
      <c r="F5" s="7">
        <v>9.3060000000000004E-2</v>
      </c>
      <c r="G5" s="7">
        <v>5.1479999999999998E-3</v>
      </c>
      <c r="H5" s="7"/>
      <c r="I5" s="7">
        <v>1.042272E-2</v>
      </c>
      <c r="J5" s="7">
        <v>5.7657599999999998E-4</v>
      </c>
      <c r="K5" s="7">
        <v>3915.5100223577101</v>
      </c>
      <c r="L5" s="7">
        <v>2.86041918831712E-2</v>
      </c>
    </row>
    <row r="6" spans="1:12" x14ac:dyDescent="0.3">
      <c r="A6" s="11">
        <v>1994</v>
      </c>
      <c r="B6" s="14" t="s">
        <v>99</v>
      </c>
      <c r="C6" s="14" t="s">
        <v>100</v>
      </c>
      <c r="D6" s="7">
        <v>58</v>
      </c>
      <c r="E6" s="7"/>
      <c r="F6" s="7">
        <v>9.3060000000000004E-2</v>
      </c>
      <c r="G6" s="7">
        <v>5.1479999999999998E-3</v>
      </c>
      <c r="H6" s="7"/>
      <c r="I6" s="7">
        <v>5.3974799999999996E-3</v>
      </c>
      <c r="J6" s="7">
        <v>2.9858400000000001E-4</v>
      </c>
      <c r="K6" s="7">
        <v>3923.1740765658101</v>
      </c>
      <c r="L6" s="7">
        <v>1.47839476067223E-2</v>
      </c>
    </row>
    <row r="7" spans="1:12" x14ac:dyDescent="0.3">
      <c r="A7" s="11">
        <v>1995</v>
      </c>
      <c r="B7" s="14" t="s">
        <v>99</v>
      </c>
      <c r="C7" s="14" t="s">
        <v>100</v>
      </c>
      <c r="D7" s="7">
        <v>32</v>
      </c>
      <c r="E7" s="7"/>
      <c r="F7" s="7">
        <v>9.3060000000000004E-2</v>
      </c>
      <c r="G7" s="7">
        <v>5.1479999999999998E-3</v>
      </c>
      <c r="H7" s="7"/>
      <c r="I7" s="7">
        <v>2.9779199999999998E-3</v>
      </c>
      <c r="J7" s="7">
        <v>1.6473599999999999E-4</v>
      </c>
      <c r="K7" s="7">
        <v>3928.4500982845002</v>
      </c>
      <c r="L7" s="7">
        <v>8.1457061180372301E-3</v>
      </c>
    </row>
    <row r="8" spans="1:12" x14ac:dyDescent="0.3">
      <c r="A8" s="11">
        <v>1996</v>
      </c>
      <c r="B8" s="14" t="s">
        <v>99</v>
      </c>
      <c r="C8" s="14" t="s">
        <v>100</v>
      </c>
      <c r="D8" s="7">
        <v>29</v>
      </c>
      <c r="E8" s="7"/>
      <c r="F8" s="7">
        <v>9.3060000000000004E-2</v>
      </c>
      <c r="G8" s="7">
        <v>5.1479999999999998E-3</v>
      </c>
      <c r="H8" s="7"/>
      <c r="I8" s="7">
        <v>2.6987399999999998E-3</v>
      </c>
      <c r="J8" s="7">
        <v>1.4929200000000001E-4</v>
      </c>
      <c r="K8" s="7">
        <v>3933.7261200031899</v>
      </c>
      <c r="L8" s="7">
        <v>7.3721451660128503E-3</v>
      </c>
    </row>
    <row r="9" spans="1:12" x14ac:dyDescent="0.3">
      <c r="A9" s="11">
        <v>1997</v>
      </c>
      <c r="B9" s="14" t="s">
        <v>99</v>
      </c>
      <c r="C9" s="14" t="s">
        <v>100</v>
      </c>
      <c r="D9" s="7">
        <v>20</v>
      </c>
      <c r="E9" s="7"/>
      <c r="F9" s="7">
        <v>9.3060000000000004E-2</v>
      </c>
      <c r="G9" s="7">
        <v>5.1479999999999998E-3</v>
      </c>
      <c r="H9" s="7"/>
      <c r="I9" s="7">
        <v>1.8611999999999999E-3</v>
      </c>
      <c r="J9" s="7">
        <v>1.0296E-4</v>
      </c>
      <c r="K9" s="7">
        <v>3939.00214172188</v>
      </c>
      <c r="L9" s="7">
        <v>5.0774280592945503E-3</v>
      </c>
    </row>
    <row r="10" spans="1:12" x14ac:dyDescent="0.3">
      <c r="A10" s="11">
        <v>1998</v>
      </c>
      <c r="B10" s="14" t="s">
        <v>99</v>
      </c>
      <c r="C10" s="14" t="s">
        <v>100</v>
      </c>
      <c r="D10" s="7">
        <v>93</v>
      </c>
      <c r="E10" s="7"/>
      <c r="F10" s="7">
        <v>9.3060000000000004E-2</v>
      </c>
      <c r="G10" s="7">
        <v>5.1479999999999998E-3</v>
      </c>
      <c r="H10" s="7"/>
      <c r="I10" s="7">
        <v>8.6545800000000003E-3</v>
      </c>
      <c r="J10" s="7">
        <v>4.7876400000000001E-4</v>
      </c>
      <c r="K10" s="7">
        <v>3944.2781634405701</v>
      </c>
      <c r="L10" s="7">
        <v>2.3578458756285201E-2</v>
      </c>
    </row>
    <row r="11" spans="1:12" x14ac:dyDescent="0.3">
      <c r="A11" s="11">
        <v>1999</v>
      </c>
      <c r="B11" s="14" t="s">
        <v>99</v>
      </c>
      <c r="C11" s="14" t="s">
        <v>100</v>
      </c>
      <c r="D11" s="7">
        <v>8</v>
      </c>
      <c r="E11" s="7"/>
      <c r="F11" s="7">
        <v>9.3060000000000004E-2</v>
      </c>
      <c r="G11" s="7">
        <v>5.1479999999999998E-3</v>
      </c>
      <c r="H11" s="7"/>
      <c r="I11" s="7">
        <v>7.4447999999999995E-4</v>
      </c>
      <c r="J11" s="7">
        <v>4.1183999999999997E-5</v>
      </c>
      <c r="K11" s="7">
        <v>3949.5541851592602</v>
      </c>
      <c r="L11" s="7">
        <v>2.0255450678612302E-3</v>
      </c>
    </row>
    <row r="12" spans="1:12" x14ac:dyDescent="0.3">
      <c r="A12" s="11">
        <v>2000</v>
      </c>
      <c r="B12" s="14" t="s">
        <v>99</v>
      </c>
      <c r="C12" s="14" t="s">
        <v>100</v>
      </c>
      <c r="D12" s="7">
        <v>42</v>
      </c>
      <c r="E12" s="7"/>
      <c r="F12" s="7">
        <v>9.3060000000000004E-2</v>
      </c>
      <c r="G12" s="7">
        <v>5.1479999999999998E-3</v>
      </c>
      <c r="H12" s="7"/>
      <c r="I12" s="7">
        <v>3.9085200000000004E-3</v>
      </c>
      <c r="J12" s="7">
        <v>2.16216E-4</v>
      </c>
      <c r="K12" s="7">
        <v>3954.8302068779499</v>
      </c>
      <c r="L12" s="7">
        <v>1.06199249532778E-2</v>
      </c>
    </row>
    <row r="13" spans="1:12" x14ac:dyDescent="0.3">
      <c r="A13" s="11">
        <v>2001</v>
      </c>
      <c r="B13" s="14" t="s">
        <v>99</v>
      </c>
      <c r="C13" s="14" t="s">
        <v>100</v>
      </c>
      <c r="D13" s="7">
        <v>24</v>
      </c>
      <c r="E13" s="7"/>
      <c r="F13" s="7">
        <v>9.3060000000000004E-2</v>
      </c>
      <c r="G13" s="7">
        <v>5.1479999999999998E-3</v>
      </c>
      <c r="H13" s="7"/>
      <c r="I13" s="7">
        <v>2.2334400000000002E-3</v>
      </c>
      <c r="J13" s="7">
        <v>1.23552E-4</v>
      </c>
      <c r="K13" s="7">
        <v>3960.10622859664</v>
      </c>
      <c r="L13" s="7">
        <v>6.0604434867660099E-3</v>
      </c>
    </row>
    <row r="14" spans="1:12" x14ac:dyDescent="0.3">
      <c r="A14" s="11">
        <v>2002</v>
      </c>
      <c r="B14" s="14" t="s">
        <v>99</v>
      </c>
      <c r="C14" s="14" t="s">
        <v>100</v>
      </c>
      <c r="D14" s="7">
        <v>86</v>
      </c>
      <c r="E14" s="7"/>
      <c r="F14" s="7">
        <v>9.3060000000000004E-2</v>
      </c>
      <c r="G14" s="7">
        <v>5.1479999999999998E-3</v>
      </c>
      <c r="H14" s="7"/>
      <c r="I14" s="7">
        <v>8.0031600000000005E-3</v>
      </c>
      <c r="J14" s="7">
        <v>4.4272799999999998E-4</v>
      </c>
      <c r="K14" s="7">
        <v>3964.3636925386199</v>
      </c>
      <c r="L14" s="7">
        <v>2.1693266983012102E-2</v>
      </c>
    </row>
    <row r="15" spans="1:12" x14ac:dyDescent="0.3">
      <c r="A15" s="11">
        <v>2003</v>
      </c>
      <c r="B15" s="14" t="s">
        <v>99</v>
      </c>
      <c r="C15" s="14" t="s">
        <v>100</v>
      </c>
      <c r="D15" s="7">
        <v>114.6</v>
      </c>
      <c r="E15" s="7"/>
      <c r="F15" s="7">
        <v>9.3060000000000004E-2</v>
      </c>
      <c r="G15" s="7">
        <v>5.1479999999999998E-3</v>
      </c>
      <c r="H15" s="7"/>
      <c r="I15" s="7">
        <v>1.0664676E-2</v>
      </c>
      <c r="J15" s="7">
        <v>5.899608E-4</v>
      </c>
      <c r="K15" s="7">
        <v>3968.6211564805899</v>
      </c>
      <c r="L15" s="7">
        <v>2.8876528013479699E-2</v>
      </c>
    </row>
    <row r="16" spans="1:12" x14ac:dyDescent="0.3">
      <c r="A16" s="11">
        <v>2004</v>
      </c>
      <c r="B16" s="14" t="s">
        <v>99</v>
      </c>
      <c r="C16" s="14" t="s">
        <v>100</v>
      </c>
      <c r="D16" s="7">
        <v>9.3000000000000007</v>
      </c>
      <c r="E16" s="7"/>
      <c r="F16" s="7">
        <v>9.3060000000000004E-2</v>
      </c>
      <c r="G16" s="7">
        <v>5.1479999999999998E-3</v>
      </c>
      <c r="H16" s="7"/>
      <c r="I16" s="7">
        <v>8.6545800000000005E-4</v>
      </c>
      <c r="J16" s="7">
        <v>4.7876400000000001E-5</v>
      </c>
      <c r="K16" s="7">
        <v>3972.8786204225698</v>
      </c>
      <c r="L16" s="7">
        <v>2.3408719189640902E-3</v>
      </c>
    </row>
    <row r="17" spans="1:12" x14ac:dyDescent="0.3">
      <c r="A17" s="11">
        <v>2005</v>
      </c>
      <c r="B17" s="14" t="s">
        <v>99</v>
      </c>
      <c r="C17" s="14" t="s">
        <v>100</v>
      </c>
      <c r="D17" s="7">
        <v>25.5</v>
      </c>
      <c r="E17" s="7"/>
      <c r="F17" s="7">
        <v>9.3060000000000004E-2</v>
      </c>
      <c r="G17" s="7">
        <v>5.1479999999999998E-3</v>
      </c>
      <c r="H17" s="7"/>
      <c r="I17" s="7">
        <v>2.3730299999999999E-3</v>
      </c>
      <c r="J17" s="7">
        <v>1.3127399999999999E-4</v>
      </c>
      <c r="K17" s="7">
        <v>3977.1360843645498</v>
      </c>
      <c r="L17" s="7">
        <v>6.4116488495953201E-3</v>
      </c>
    </row>
    <row r="18" spans="1:12" x14ac:dyDescent="0.3">
      <c r="A18" s="11">
        <v>2006</v>
      </c>
      <c r="B18" s="14" t="s">
        <v>99</v>
      </c>
      <c r="C18" s="14" t="s">
        <v>100</v>
      </c>
      <c r="D18" s="7">
        <v>28</v>
      </c>
      <c r="E18" s="7"/>
      <c r="F18" s="7">
        <v>9.3060000000000004E-2</v>
      </c>
      <c r="G18" s="7">
        <v>5.1479999999999998E-3</v>
      </c>
      <c r="H18" s="7"/>
      <c r="I18" s="7">
        <v>2.60568E-3</v>
      </c>
      <c r="J18" s="7">
        <v>1.4414399999999999E-4</v>
      </c>
      <c r="K18" s="7">
        <v>3981.3935483065202</v>
      </c>
      <c r="L18" s="7">
        <v>7.03271346082071E-3</v>
      </c>
    </row>
    <row r="19" spans="1:12" x14ac:dyDescent="0.3">
      <c r="A19" s="11">
        <v>2007</v>
      </c>
      <c r="B19" s="14" t="s">
        <v>99</v>
      </c>
      <c r="C19" s="14" t="s">
        <v>100</v>
      </c>
      <c r="D19" s="7">
        <v>32.9</v>
      </c>
      <c r="E19" s="7"/>
      <c r="F19" s="7">
        <v>9.3060000000000004E-2</v>
      </c>
      <c r="G19" s="7">
        <v>5.1479999999999998E-3</v>
      </c>
      <c r="H19" s="7"/>
      <c r="I19" s="7">
        <v>3.0616739999999999E-3</v>
      </c>
      <c r="J19" s="7">
        <v>1.6936920000000001E-4</v>
      </c>
      <c r="K19" s="7">
        <v>3985.6510122485001</v>
      </c>
      <c r="L19" s="7">
        <v>8.2546113292140694E-3</v>
      </c>
    </row>
    <row r="20" spans="1:12" x14ac:dyDescent="0.3">
      <c r="A20" s="11">
        <v>2008</v>
      </c>
      <c r="B20" s="14" t="s">
        <v>99</v>
      </c>
      <c r="C20" s="14" t="s">
        <v>100</v>
      </c>
      <c r="D20" s="7">
        <v>42.5</v>
      </c>
      <c r="E20" s="7"/>
      <c r="F20" s="7">
        <v>9.3060000000000004E-2</v>
      </c>
      <c r="G20" s="7">
        <v>5.1479999999999998E-3</v>
      </c>
      <c r="H20" s="7"/>
      <c r="I20" s="7">
        <v>3.9550499999999999E-3</v>
      </c>
      <c r="J20" s="7">
        <v>2.1879000000000001E-4</v>
      </c>
      <c r="K20" s="7">
        <v>3989.9084761904801</v>
      </c>
      <c r="L20" s="7">
        <v>1.0651873408529499E-2</v>
      </c>
    </row>
    <row r="21" spans="1:12" x14ac:dyDescent="0.3">
      <c r="A21" s="11">
        <v>2009</v>
      </c>
      <c r="B21" s="14" t="s">
        <v>99</v>
      </c>
      <c r="C21" s="14" t="s">
        <v>100</v>
      </c>
      <c r="D21" s="7">
        <v>25.5</v>
      </c>
      <c r="E21" s="7"/>
      <c r="F21" s="7">
        <v>9.3060000000000004E-2</v>
      </c>
      <c r="G21" s="7">
        <v>5.1479999999999998E-3</v>
      </c>
      <c r="H21" s="7"/>
      <c r="I21" s="7">
        <v>2.3730299999999999E-3</v>
      </c>
      <c r="J21" s="7">
        <v>1.3127399999999999E-4</v>
      </c>
      <c r="K21" s="7">
        <v>3992.1895238095199</v>
      </c>
      <c r="L21" s="7">
        <v>6.3874723000792799E-3</v>
      </c>
    </row>
    <row r="22" spans="1:12" x14ac:dyDescent="0.3">
      <c r="A22" s="11">
        <v>2010</v>
      </c>
      <c r="B22" s="14" t="s">
        <v>99</v>
      </c>
      <c r="C22" s="14" t="s">
        <v>100</v>
      </c>
      <c r="D22" s="7">
        <v>31.9</v>
      </c>
      <c r="E22" s="7"/>
      <c r="F22" s="7">
        <v>9.3060000000000004E-2</v>
      </c>
      <c r="G22" s="7">
        <v>5.1479999999999998E-3</v>
      </c>
      <c r="H22" s="7"/>
      <c r="I22" s="7">
        <v>2.9686140000000001E-3</v>
      </c>
      <c r="J22" s="7">
        <v>1.642212E-4</v>
      </c>
      <c r="K22" s="7">
        <v>3994.4705714285701</v>
      </c>
      <c r="L22" s="7">
        <v>7.9860395588272903E-3</v>
      </c>
    </row>
    <row r="23" spans="1:12" x14ac:dyDescent="0.3">
      <c r="A23" s="11">
        <v>2011</v>
      </c>
      <c r="B23" s="14" t="s">
        <v>99</v>
      </c>
      <c r="C23" s="14" t="s">
        <v>100</v>
      </c>
      <c r="D23" s="7">
        <v>28.7</v>
      </c>
      <c r="E23" s="7"/>
      <c r="F23" s="7">
        <v>9.3060000000000004E-2</v>
      </c>
      <c r="G23" s="7">
        <v>5.1479999999999998E-3</v>
      </c>
      <c r="H23" s="7"/>
      <c r="I23" s="7">
        <v>2.6708220000000002E-3</v>
      </c>
      <c r="J23" s="7">
        <v>1.4774760000000001E-4</v>
      </c>
      <c r="K23" s="7">
        <v>3996.7516190476199</v>
      </c>
      <c r="L23" s="7">
        <v>7.1808315190822099E-3</v>
      </c>
    </row>
    <row r="24" spans="1:12" x14ac:dyDescent="0.3">
      <c r="A24" s="11">
        <v>2012</v>
      </c>
      <c r="B24" s="14" t="s">
        <v>99</v>
      </c>
      <c r="C24" s="14" t="s">
        <v>100</v>
      </c>
      <c r="D24" s="7">
        <v>31.2</v>
      </c>
      <c r="E24" s="7"/>
      <c r="F24" s="7">
        <v>9.3060000000000004E-2</v>
      </c>
      <c r="G24" s="7">
        <v>5.1479999999999998E-3</v>
      </c>
      <c r="H24" s="7"/>
      <c r="I24" s="7">
        <v>2.9034719999999998E-3</v>
      </c>
      <c r="J24" s="7">
        <v>1.6061760000000001E-4</v>
      </c>
      <c r="K24" s="7">
        <v>3999.0326666666701</v>
      </c>
      <c r="L24" s="7">
        <v>7.8018867562805504E-3</v>
      </c>
    </row>
    <row r="25" spans="1:12" x14ac:dyDescent="0.3">
      <c r="A25" s="11">
        <v>2013</v>
      </c>
      <c r="B25" s="14" t="s">
        <v>99</v>
      </c>
      <c r="C25" s="14" t="s">
        <v>100</v>
      </c>
      <c r="D25" s="7">
        <v>64.900000000000006</v>
      </c>
      <c r="E25" s="7"/>
      <c r="F25" s="7">
        <v>9.3060000000000004E-2</v>
      </c>
      <c r="G25" s="7">
        <v>5.1479999999999998E-3</v>
      </c>
      <c r="H25" s="7"/>
      <c r="I25" s="7">
        <v>6.0395939999999997E-3</v>
      </c>
      <c r="J25" s="7">
        <v>3.3410519999999997E-4</v>
      </c>
      <c r="K25" s="7">
        <v>4001.3137142857099</v>
      </c>
      <c r="L25" s="7">
        <v>1.6219672995968899E-2</v>
      </c>
    </row>
    <row r="26" spans="1:12" x14ac:dyDescent="0.3">
      <c r="A26" s="11">
        <v>2014</v>
      </c>
      <c r="B26" s="14" t="s">
        <v>99</v>
      </c>
      <c r="C26" s="14" t="s">
        <v>100</v>
      </c>
      <c r="D26" s="7">
        <v>39</v>
      </c>
      <c r="E26" s="7"/>
      <c r="F26" s="7">
        <v>9.3060000000000004E-2</v>
      </c>
      <c r="G26" s="7">
        <v>5.1479999999999998E-3</v>
      </c>
      <c r="H26" s="7"/>
      <c r="I26" s="7">
        <v>3.62934E-3</v>
      </c>
      <c r="J26" s="7">
        <v>2.0077199999999999E-4</v>
      </c>
      <c r="K26" s="7">
        <v>4003.5947619047602</v>
      </c>
      <c r="L26" s="7">
        <v>9.7412456353213103E-3</v>
      </c>
    </row>
    <row r="27" spans="1:12" x14ac:dyDescent="0.3">
      <c r="A27" s="11">
        <v>2015</v>
      </c>
      <c r="B27" s="14" t="s">
        <v>99</v>
      </c>
      <c r="C27" s="14" t="s">
        <v>100</v>
      </c>
      <c r="D27" s="7">
        <v>94.6</v>
      </c>
      <c r="E27" s="7"/>
      <c r="F27" s="7">
        <v>9.3060000000000004E-2</v>
      </c>
      <c r="G27" s="7">
        <v>5.1479999999999998E-3</v>
      </c>
      <c r="H27" s="7"/>
      <c r="I27" s="7">
        <v>8.8034759999999993E-3</v>
      </c>
      <c r="J27" s="7">
        <v>4.8700080000000002E-4</v>
      </c>
      <c r="K27" s="7">
        <v>4005.8758095238099</v>
      </c>
      <c r="L27" s="7">
        <v>2.3615310233805101E-2</v>
      </c>
    </row>
    <row r="28" spans="1:12" x14ac:dyDescent="0.3">
      <c r="A28" s="11">
        <v>2016</v>
      </c>
      <c r="B28" s="14" t="s">
        <v>99</v>
      </c>
      <c r="C28" s="14" t="s">
        <v>100</v>
      </c>
      <c r="D28" s="7">
        <v>15.8</v>
      </c>
      <c r="E28" s="7"/>
      <c r="F28" s="7">
        <v>9.3060000000000004E-2</v>
      </c>
      <c r="G28" s="7">
        <v>5.1479999999999998E-3</v>
      </c>
      <c r="H28" s="7"/>
      <c r="I28" s="7">
        <v>1.470348E-3</v>
      </c>
      <c r="J28" s="7">
        <v>8.13384E-5</v>
      </c>
      <c r="K28" s="7">
        <v>4008.1568571428602</v>
      </c>
      <c r="L28" s="7">
        <v>3.9419614958040201E-3</v>
      </c>
    </row>
    <row r="29" spans="1:12" x14ac:dyDescent="0.3">
      <c r="A29" s="11">
        <v>2017</v>
      </c>
      <c r="B29" s="14" t="s">
        <v>99</v>
      </c>
      <c r="C29" s="14" t="s">
        <v>100</v>
      </c>
      <c r="D29" s="7">
        <v>22.1</v>
      </c>
      <c r="E29" s="7"/>
      <c r="F29" s="7">
        <v>9.3060000000000004E-2</v>
      </c>
      <c r="G29" s="7">
        <v>5.1479999999999998E-3</v>
      </c>
      <c r="H29" s="7"/>
      <c r="I29" s="7">
        <v>2.0566260000000002E-3</v>
      </c>
      <c r="J29" s="7">
        <v>1.1377080000000001E-4</v>
      </c>
      <c r="K29" s="7">
        <v>4010.4379047619</v>
      </c>
      <c r="L29" s="7">
        <v>5.5106201678771704E-3</v>
      </c>
    </row>
    <row r="30" spans="1:12" x14ac:dyDescent="0.3">
      <c r="A30" s="11">
        <v>2018</v>
      </c>
      <c r="B30" s="14" t="s">
        <v>99</v>
      </c>
      <c r="C30" s="14" t="s">
        <v>100</v>
      </c>
      <c r="D30" s="7">
        <v>33.4</v>
      </c>
      <c r="E30" s="7"/>
      <c r="F30" s="7">
        <v>9.3060000000000004E-2</v>
      </c>
      <c r="G30" s="7">
        <v>5.1479999999999998E-3</v>
      </c>
      <c r="H30" s="7"/>
      <c r="I30" s="7">
        <v>3.1082039999999998E-3</v>
      </c>
      <c r="J30" s="7">
        <v>1.7194319999999999E-4</v>
      </c>
      <c r="K30" s="7">
        <v>4012.7189523809502</v>
      </c>
      <c r="L30" s="7">
        <v>8.3235333439392999E-3</v>
      </c>
    </row>
    <row r="31" spans="1:12" x14ac:dyDescent="0.3">
      <c r="A31" s="11">
        <v>2019</v>
      </c>
      <c r="B31" s="14" t="s">
        <v>99</v>
      </c>
      <c r="C31" s="14" t="s">
        <v>100</v>
      </c>
      <c r="D31" s="7">
        <v>25.8</v>
      </c>
      <c r="E31" s="7"/>
      <c r="F31" s="7">
        <v>9.3060000000000004E-2</v>
      </c>
      <c r="G31" s="7">
        <v>5.1479999999999998E-3</v>
      </c>
      <c r="H31" s="7"/>
      <c r="I31" s="7">
        <v>2.400948E-3</v>
      </c>
      <c r="J31" s="7">
        <v>1.3281839999999999E-4</v>
      </c>
      <c r="K31" s="7">
        <v>4015</v>
      </c>
      <c r="L31" s="7">
        <v>6.4259028642590296E-3</v>
      </c>
    </row>
    <row r="32" spans="1:12" x14ac:dyDescent="0.3">
      <c r="A32" s="11">
        <v>2020</v>
      </c>
      <c r="B32" s="14" t="s">
        <v>99</v>
      </c>
      <c r="C32" s="14" t="s">
        <v>100</v>
      </c>
      <c r="D32" s="7">
        <v>53.5</v>
      </c>
      <c r="E32" s="7"/>
      <c r="F32" s="7">
        <v>9.3060000000000004E-2</v>
      </c>
      <c r="G32" s="7">
        <v>5.1479999999999998E-3</v>
      </c>
      <c r="H32" s="7"/>
      <c r="I32" s="7">
        <v>4.9787099999999999E-3</v>
      </c>
      <c r="J32" s="7">
        <v>2.7541799999999998E-4</v>
      </c>
      <c r="K32" s="7">
        <v>4017.2810476190498</v>
      </c>
      <c r="L32" s="7">
        <v>1.3317465063020201E-2</v>
      </c>
    </row>
    <row r="33" spans="1:12" x14ac:dyDescent="0.3">
      <c r="A33" s="11">
        <v>2021</v>
      </c>
      <c r="B33" s="14" t="s">
        <v>99</v>
      </c>
      <c r="C33" s="14" t="s">
        <v>100</v>
      </c>
      <c r="D33" s="7">
        <v>93</v>
      </c>
      <c r="E33" s="7"/>
      <c r="F33" s="7">
        <v>9.3060000000000004E-2</v>
      </c>
      <c r="G33" s="7">
        <v>5.1479999999999998E-3</v>
      </c>
      <c r="H33" s="7"/>
      <c r="I33" s="7">
        <v>8.6545800000000003E-3</v>
      </c>
      <c r="J33" s="7">
        <v>4.7876400000000001E-4</v>
      </c>
      <c r="K33" s="7">
        <v>4019.56209523809</v>
      </c>
      <c r="L33" s="7">
        <v>2.31368486906013E-2</v>
      </c>
    </row>
    <row r="34" spans="1:12" x14ac:dyDescent="0.3">
      <c r="A34" s="11">
        <v>2022</v>
      </c>
      <c r="B34" s="14" t="s">
        <v>99</v>
      </c>
      <c r="C34" s="14" t="s">
        <v>100</v>
      </c>
      <c r="D34" s="7">
        <v>268.89999999999998</v>
      </c>
      <c r="E34" s="7"/>
      <c r="F34" s="7">
        <v>9.3060000000000004E-2</v>
      </c>
      <c r="G34" s="7">
        <v>5.1479999999999998E-3</v>
      </c>
      <c r="H34" s="7"/>
      <c r="I34" s="7">
        <v>2.5023833999999998E-2</v>
      </c>
      <c r="J34" s="7">
        <v>1.3842971999999999E-3</v>
      </c>
      <c r="K34" s="7">
        <v>4021.8431428571398</v>
      </c>
      <c r="L34" s="7">
        <v>6.6859892454426195E-2</v>
      </c>
    </row>
    <row r="35" spans="1:12" x14ac:dyDescent="0.3">
      <c r="A35" s="11">
        <v>2023</v>
      </c>
      <c r="B35" s="14" t="s">
        <v>99</v>
      </c>
      <c r="C35" s="14" t="s">
        <v>100</v>
      </c>
      <c r="D35" s="7">
        <v>74.599999999999994</v>
      </c>
      <c r="E35" s="7"/>
      <c r="F35" s="7">
        <v>9.3060000000000004E-2</v>
      </c>
      <c r="G35" s="7">
        <v>5.1479999999999998E-3</v>
      </c>
      <c r="H35" s="7"/>
      <c r="I35" s="7">
        <v>6.9422759999999998E-3</v>
      </c>
      <c r="J35" s="7">
        <v>3.8404079999999999E-4</v>
      </c>
      <c r="K35" s="7">
        <v>4024.1241904761901</v>
      </c>
      <c r="L35" s="7">
        <v>1.8538195261606102E-2</v>
      </c>
    </row>
    <row r="36" spans="1:12" x14ac:dyDescent="0.3">
      <c r="A36" s="12">
        <v>2024</v>
      </c>
      <c r="B36" s="5" t="s">
        <v>99</v>
      </c>
      <c r="C36" s="5" t="s">
        <v>100</v>
      </c>
      <c r="D36" s="8">
        <v>43.4</v>
      </c>
      <c r="E36" s="8"/>
      <c r="F36" s="8">
        <v>9.3060000000000004E-2</v>
      </c>
      <c r="G36" s="8">
        <v>5.1479999999999998E-3</v>
      </c>
      <c r="H36" s="8"/>
      <c r="I36" s="8">
        <v>4.038804E-3</v>
      </c>
      <c r="J36" s="8">
        <v>2.2342320000000001E-4</v>
      </c>
      <c r="K36" s="8">
        <v>4026.4052380952398</v>
      </c>
      <c r="L36" s="8">
        <v>1.07788455045154E-2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.77734375" customWidth="1"/>
    <col min="2" max="2" width="11.77734375" customWidth="1"/>
    <col min="3" max="3" width="4.109375" customWidth="1"/>
    <col min="4" max="4" width="5.88671875" customWidth="1"/>
    <col min="5" max="5" width="6.77734375" customWidth="1"/>
    <col min="6" max="7" width="11.77734375" customWidth="1"/>
    <col min="8" max="8" width="5" customWidth="1"/>
    <col min="9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99</v>
      </c>
      <c r="C2" s="13" t="s">
        <v>100</v>
      </c>
      <c r="D2" s="6">
        <v>19</v>
      </c>
      <c r="E2" s="6"/>
      <c r="F2" s="6">
        <v>0.26589467112431597</v>
      </c>
      <c r="G2" s="6">
        <v>1.4709066913263199E-2</v>
      </c>
      <c r="H2" s="6"/>
      <c r="I2" s="6">
        <v>5.0519987513619998E-3</v>
      </c>
      <c r="J2" s="6">
        <v>2.7947227135200002E-4</v>
      </c>
      <c r="K2" s="6">
        <v>708.60066251415799</v>
      </c>
      <c r="L2" s="6">
        <v>2.6813409872616899E-2</v>
      </c>
    </row>
    <row r="3" spans="1:12" x14ac:dyDescent="0.3">
      <c r="A3" s="11">
        <v>1991</v>
      </c>
      <c r="B3" s="14" t="s">
        <v>99</v>
      </c>
      <c r="C3" s="14" t="s">
        <v>100</v>
      </c>
      <c r="D3" s="7">
        <v>19</v>
      </c>
      <c r="E3" s="7"/>
      <c r="F3" s="7">
        <v>0.26589467112431597</v>
      </c>
      <c r="G3" s="7">
        <v>1.4709066913263199E-2</v>
      </c>
      <c r="H3" s="7"/>
      <c r="I3" s="7">
        <v>5.0519987513619998E-3</v>
      </c>
      <c r="J3" s="7">
        <v>2.7947227135200002E-4</v>
      </c>
      <c r="K3" s="7">
        <v>708.93428971985395</v>
      </c>
      <c r="L3" s="7">
        <v>2.6800791378716E-2</v>
      </c>
    </row>
    <row r="4" spans="1:12" x14ac:dyDescent="0.3">
      <c r="A4" s="11">
        <v>1992</v>
      </c>
      <c r="B4" s="14" t="s">
        <v>99</v>
      </c>
      <c r="C4" s="14" t="s">
        <v>100</v>
      </c>
      <c r="D4" s="7">
        <v>16</v>
      </c>
      <c r="E4" s="7"/>
      <c r="F4" s="7">
        <v>0.26589467112431298</v>
      </c>
      <c r="G4" s="7">
        <v>1.470906691325E-2</v>
      </c>
      <c r="H4" s="7"/>
      <c r="I4" s="7">
        <v>4.2543147379890001E-3</v>
      </c>
      <c r="J4" s="7">
        <v>2.35345070612E-4</v>
      </c>
      <c r="K4" s="7">
        <v>709.26791692555003</v>
      </c>
      <c r="L4" s="7">
        <v>2.2558471373349102E-2</v>
      </c>
    </row>
    <row r="5" spans="1:12" x14ac:dyDescent="0.3">
      <c r="A5" s="11">
        <v>1993</v>
      </c>
      <c r="B5" s="14" t="s">
        <v>99</v>
      </c>
      <c r="C5" s="14" t="s">
        <v>100</v>
      </c>
      <c r="D5" s="7">
        <v>11.32</v>
      </c>
      <c r="E5" s="7"/>
      <c r="F5" s="7">
        <v>0.26589467112429299</v>
      </c>
      <c r="G5" s="7">
        <v>1.47090669132509E-2</v>
      </c>
      <c r="H5" s="7"/>
      <c r="I5" s="7">
        <v>3.0099276771269998E-3</v>
      </c>
      <c r="J5" s="7">
        <v>1.6650663745800001E-4</v>
      </c>
      <c r="K5" s="7">
        <v>709.60154413124599</v>
      </c>
      <c r="L5" s="7">
        <v>1.5952614666106601E-2</v>
      </c>
    </row>
    <row r="6" spans="1:12" x14ac:dyDescent="0.3">
      <c r="A6" s="11">
        <v>1994</v>
      </c>
      <c r="B6" s="14" t="s">
        <v>99</v>
      </c>
      <c r="C6" s="14" t="s">
        <v>100</v>
      </c>
      <c r="D6" s="7">
        <v>13</v>
      </c>
      <c r="E6" s="7"/>
      <c r="F6" s="7">
        <v>0.26589467112430798</v>
      </c>
      <c r="G6" s="7">
        <v>1.47090669132308E-2</v>
      </c>
      <c r="H6" s="7"/>
      <c r="I6" s="7">
        <v>3.456630724616E-3</v>
      </c>
      <c r="J6" s="7">
        <v>1.9121786987199999E-4</v>
      </c>
      <c r="K6" s="7">
        <v>709.93517133694104</v>
      </c>
      <c r="L6" s="7">
        <v>1.8311531143778301E-2</v>
      </c>
    </row>
    <row r="7" spans="1:12" x14ac:dyDescent="0.3">
      <c r="A7" s="11">
        <v>1995</v>
      </c>
      <c r="B7" s="14" t="s">
        <v>99</v>
      </c>
      <c r="C7" s="14" t="s">
        <v>100</v>
      </c>
      <c r="D7" s="7">
        <v>1</v>
      </c>
      <c r="E7" s="7"/>
      <c r="F7" s="7">
        <v>0.265894671124</v>
      </c>
      <c r="G7" s="7">
        <v>1.4709066913E-2</v>
      </c>
      <c r="H7" s="7"/>
      <c r="I7" s="7">
        <v>2.6589467112399999E-4</v>
      </c>
      <c r="J7" s="7">
        <v>1.4709066913E-5</v>
      </c>
      <c r="K7" s="7">
        <v>710.268798542637</v>
      </c>
      <c r="L7" s="7">
        <v>1.4079176813789999E-3</v>
      </c>
    </row>
    <row r="8" spans="1:12" x14ac:dyDescent="0.3">
      <c r="A8" s="11">
        <v>1996</v>
      </c>
      <c r="B8" s="14" t="s">
        <v>99</v>
      </c>
      <c r="C8" s="14" t="s">
        <v>100</v>
      </c>
      <c r="D8" s="7">
        <v>863</v>
      </c>
      <c r="E8" s="7"/>
      <c r="F8" s="7">
        <v>0.26589467112433401</v>
      </c>
      <c r="G8" s="7">
        <v>1.47090669132607E-2</v>
      </c>
      <c r="H8" s="7"/>
      <c r="I8" s="7">
        <v>0.2294671011803</v>
      </c>
      <c r="J8" s="7">
        <v>1.2693924746144E-2</v>
      </c>
      <c r="K8" s="7">
        <v>710.60242574833296</v>
      </c>
      <c r="L8" s="7">
        <v>1.2144625021384901</v>
      </c>
    </row>
    <row r="9" spans="1:12" x14ac:dyDescent="0.3">
      <c r="A9" s="11">
        <v>1997</v>
      </c>
      <c r="B9" s="14" t="s">
        <v>99</v>
      </c>
      <c r="C9" s="14" t="s">
        <v>100</v>
      </c>
      <c r="D9" s="7">
        <v>8</v>
      </c>
      <c r="E9" s="7"/>
      <c r="F9" s="7">
        <v>0.26589467112437498</v>
      </c>
      <c r="G9" s="7">
        <v>1.470906691325E-2</v>
      </c>
      <c r="H9" s="7"/>
      <c r="I9" s="7">
        <v>2.1271573689950001E-3</v>
      </c>
      <c r="J9" s="7">
        <v>1.17672535306E-4</v>
      </c>
      <c r="K9" s="7">
        <v>710.94319229468795</v>
      </c>
      <c r="L9" s="7">
        <v>1.12526571556001E-2</v>
      </c>
    </row>
    <row r="10" spans="1:12" x14ac:dyDescent="0.3">
      <c r="A10" s="11">
        <v>1998</v>
      </c>
      <c r="B10" s="14" t="s">
        <v>99</v>
      </c>
      <c r="C10" s="14" t="s">
        <v>100</v>
      </c>
      <c r="D10" s="7">
        <v>13</v>
      </c>
      <c r="E10" s="7"/>
      <c r="F10" s="7">
        <v>0.26589467112430798</v>
      </c>
      <c r="G10" s="7">
        <v>1.47090669132308E-2</v>
      </c>
      <c r="H10" s="7"/>
      <c r="I10" s="7">
        <v>3.456630724616E-3</v>
      </c>
      <c r="J10" s="7">
        <v>1.9121786987199999E-4</v>
      </c>
      <c r="K10" s="7">
        <v>711.28395884104305</v>
      </c>
      <c r="L10" s="7">
        <v>1.8276807509032E-2</v>
      </c>
    </row>
    <row r="11" spans="1:12" x14ac:dyDescent="0.3">
      <c r="A11" s="11">
        <v>1999</v>
      </c>
      <c r="B11" s="14" t="s">
        <v>99</v>
      </c>
      <c r="C11" s="14" t="s">
        <v>100</v>
      </c>
      <c r="D11" s="7">
        <v>2.74</v>
      </c>
      <c r="E11" s="7"/>
      <c r="F11" s="7">
        <v>0.26589467112445297</v>
      </c>
      <c r="G11" s="7">
        <v>1.47090669131387E-2</v>
      </c>
      <c r="H11" s="7"/>
      <c r="I11" s="7">
        <v>7.2855139888099998E-4</v>
      </c>
      <c r="J11" s="7">
        <v>4.0302843342000002E-5</v>
      </c>
      <c r="K11" s="7">
        <v>711.62472538739803</v>
      </c>
      <c r="L11" s="7">
        <v>3.85034401173791E-3</v>
      </c>
    </row>
    <row r="12" spans="1:12" x14ac:dyDescent="0.3">
      <c r="A12" s="11">
        <v>2000</v>
      </c>
      <c r="B12" s="14" t="s">
        <v>99</v>
      </c>
      <c r="C12" s="14" t="s">
        <v>100</v>
      </c>
      <c r="D12" s="7">
        <v>0.04</v>
      </c>
      <c r="E12" s="7"/>
      <c r="F12" s="7">
        <v>0.26589467112499998</v>
      </c>
      <c r="G12" s="7">
        <v>1.4709066925E-2</v>
      </c>
      <c r="H12" s="7"/>
      <c r="I12" s="7">
        <v>1.0635786844999999E-5</v>
      </c>
      <c r="J12" s="7">
        <v>5.8836267699999998E-7</v>
      </c>
      <c r="K12" s="7">
        <v>711.96549193375301</v>
      </c>
      <c r="L12" s="7">
        <v>5.6182498243499002E-5</v>
      </c>
    </row>
    <row r="13" spans="1:12" x14ac:dyDescent="0.3">
      <c r="A13" s="11">
        <v>2001</v>
      </c>
      <c r="B13" s="14" t="s">
        <v>99</v>
      </c>
      <c r="C13" s="14" t="s">
        <v>100</v>
      </c>
      <c r="D13" s="7">
        <v>0.86</v>
      </c>
      <c r="E13" s="7"/>
      <c r="F13" s="7">
        <v>0.265894671124419</v>
      </c>
      <c r="G13" s="7">
        <v>1.47090669127907E-2</v>
      </c>
      <c r="H13" s="7"/>
      <c r="I13" s="7">
        <v>2.28669417167E-4</v>
      </c>
      <c r="J13" s="7">
        <v>1.2649797544999999E-5</v>
      </c>
      <c r="K13" s="7">
        <v>712.306258480108</v>
      </c>
      <c r="L13" s="7">
        <v>1.2073458428331599E-3</v>
      </c>
    </row>
    <row r="14" spans="1:12" x14ac:dyDescent="0.3">
      <c r="A14" s="11">
        <v>2002</v>
      </c>
      <c r="B14" s="14" t="s">
        <v>99</v>
      </c>
      <c r="C14" s="14" t="s">
        <v>100</v>
      </c>
      <c r="D14" s="7">
        <v>7.98</v>
      </c>
      <c r="E14" s="7"/>
      <c r="F14" s="7">
        <v>0.26589467112431098</v>
      </c>
      <c r="G14" s="7">
        <v>1.4709066913283201E-2</v>
      </c>
      <c r="H14" s="7"/>
      <c r="I14" s="7">
        <v>2.1218394755720001E-3</v>
      </c>
      <c r="J14" s="7">
        <v>1.17378353968E-4</v>
      </c>
      <c r="K14" s="7">
        <v>712.64702502646298</v>
      </c>
      <c r="L14" s="7">
        <v>1.11976893465649E-2</v>
      </c>
    </row>
    <row r="15" spans="1:12" x14ac:dyDescent="0.3">
      <c r="A15" s="11">
        <v>2003</v>
      </c>
      <c r="B15" s="14" t="s">
        <v>99</v>
      </c>
      <c r="C15" s="14" t="s">
        <v>100</v>
      </c>
      <c r="D15" s="7">
        <v>4.6399999999999997</v>
      </c>
      <c r="E15" s="7"/>
      <c r="F15" s="7">
        <v>0.265894671124353</v>
      </c>
      <c r="G15" s="7">
        <v>1.4709066913362099E-2</v>
      </c>
      <c r="H15" s="7"/>
      <c r="I15" s="7">
        <v>1.233751274017E-3</v>
      </c>
      <c r="J15" s="7">
        <v>6.8250070478000001E-5</v>
      </c>
      <c r="K15" s="7">
        <v>712.98779157281797</v>
      </c>
      <c r="L15" s="7">
        <v>6.5078253160048899E-3</v>
      </c>
    </row>
    <row r="16" spans="1:12" x14ac:dyDescent="0.3">
      <c r="A16" s="11">
        <v>2004</v>
      </c>
      <c r="B16" s="14" t="s">
        <v>99</v>
      </c>
      <c r="C16" s="14" t="s">
        <v>100</v>
      </c>
      <c r="D16" s="7"/>
      <c r="E16" s="7"/>
      <c r="F16" s="7"/>
      <c r="G16" s="7"/>
      <c r="H16" s="7"/>
      <c r="I16" s="7"/>
      <c r="J16" s="7"/>
      <c r="K16" s="7">
        <v>713.32855811917295</v>
      </c>
      <c r="L16" s="7"/>
    </row>
    <row r="17" spans="1:12" x14ac:dyDescent="0.3">
      <c r="A17" s="11">
        <v>2005</v>
      </c>
      <c r="B17" s="14" t="s">
        <v>99</v>
      </c>
      <c r="C17" s="14" t="s">
        <v>100</v>
      </c>
      <c r="D17" s="7">
        <v>2.5000000000000001E-2</v>
      </c>
      <c r="E17" s="7"/>
      <c r="F17" s="7">
        <v>0.26589467111999998</v>
      </c>
      <c r="G17" s="7">
        <v>1.470906692E-2</v>
      </c>
      <c r="H17" s="7"/>
      <c r="I17" s="7">
        <v>6.6473667779999996E-6</v>
      </c>
      <c r="J17" s="7">
        <v>3.6772667300000003E-7</v>
      </c>
      <c r="K17" s="7">
        <v>713.64433697321999</v>
      </c>
      <c r="L17" s="7">
        <v>3.5031455733303401E-5</v>
      </c>
    </row>
    <row r="18" spans="1:12" x14ac:dyDescent="0.3">
      <c r="A18" s="11">
        <v>2006</v>
      </c>
      <c r="B18" s="14" t="s">
        <v>99</v>
      </c>
      <c r="C18" s="14" t="s">
        <v>100</v>
      </c>
      <c r="D18" s="7">
        <v>0.1</v>
      </c>
      <c r="E18" s="7"/>
      <c r="F18" s="7">
        <v>0.26589467111999998</v>
      </c>
      <c r="G18" s="7">
        <v>1.4709066910000001E-2</v>
      </c>
      <c r="H18" s="7"/>
      <c r="I18" s="7">
        <v>2.6589467111999999E-5</v>
      </c>
      <c r="J18" s="7">
        <v>1.470906691E-6</v>
      </c>
      <c r="K18" s="7">
        <v>713.96011582726805</v>
      </c>
      <c r="L18" s="7">
        <v>1.4006384640146099E-4</v>
      </c>
    </row>
    <row r="19" spans="1:12" x14ac:dyDescent="0.3">
      <c r="A19" s="11">
        <v>2007</v>
      </c>
      <c r="B19" s="14" t="s">
        <v>99</v>
      </c>
      <c r="C19" s="14" t="s">
        <v>100</v>
      </c>
      <c r="D19" s="7">
        <v>1.1399999999999999</v>
      </c>
      <c r="E19" s="7"/>
      <c r="F19" s="7">
        <v>0.265894671124561</v>
      </c>
      <c r="G19" s="7">
        <v>1.47090669131579E-2</v>
      </c>
      <c r="H19" s="7"/>
      <c r="I19" s="7">
        <v>3.0311992508200001E-4</v>
      </c>
      <c r="J19" s="7">
        <v>1.6768336281000001E-5</v>
      </c>
      <c r="K19" s="7">
        <v>714.27589468131498</v>
      </c>
      <c r="L19" s="7">
        <v>1.59602194122571E-3</v>
      </c>
    </row>
    <row r="20" spans="1:12" x14ac:dyDescent="0.3">
      <c r="A20" s="11">
        <v>2008</v>
      </c>
      <c r="B20" s="14" t="s">
        <v>99</v>
      </c>
      <c r="C20" s="14" t="s">
        <v>100</v>
      </c>
      <c r="D20" s="7"/>
      <c r="E20" s="7"/>
      <c r="F20" s="7"/>
      <c r="G20" s="7"/>
      <c r="H20" s="7"/>
      <c r="I20" s="7"/>
      <c r="J20" s="7"/>
      <c r="K20" s="7">
        <v>714.59167353536202</v>
      </c>
      <c r="L20" s="7"/>
    </row>
    <row r="21" spans="1:12" x14ac:dyDescent="0.3">
      <c r="A21" s="11">
        <v>2009</v>
      </c>
      <c r="B21" s="14" t="s">
        <v>99</v>
      </c>
      <c r="C21" s="14" t="s">
        <v>100</v>
      </c>
      <c r="D21" s="7"/>
      <c r="E21" s="7"/>
      <c r="F21" s="7"/>
      <c r="G21" s="7"/>
      <c r="H21" s="7"/>
      <c r="I21" s="7"/>
      <c r="J21" s="7"/>
      <c r="K21" s="7">
        <v>714.932440081717</v>
      </c>
      <c r="L21" s="7"/>
    </row>
    <row r="22" spans="1:12" x14ac:dyDescent="0.3">
      <c r="A22" s="11">
        <v>2010</v>
      </c>
      <c r="B22" s="14" t="s">
        <v>99</v>
      </c>
      <c r="C22" s="14" t="s">
        <v>100</v>
      </c>
      <c r="D22" s="7"/>
      <c r="E22" s="7"/>
      <c r="F22" s="7"/>
      <c r="G22" s="7"/>
      <c r="H22" s="7"/>
      <c r="I22" s="7"/>
      <c r="J22" s="7"/>
      <c r="K22" s="7">
        <v>715.58688875606504</v>
      </c>
      <c r="L22" s="7"/>
    </row>
    <row r="23" spans="1:12" x14ac:dyDescent="0.3">
      <c r="A23" s="11">
        <v>2011</v>
      </c>
      <c r="B23" s="14" t="s">
        <v>99</v>
      </c>
      <c r="C23" s="14" t="s">
        <v>100</v>
      </c>
      <c r="D23" s="7">
        <v>144</v>
      </c>
      <c r="E23" s="7"/>
      <c r="F23" s="7">
        <v>0.16498892169739601</v>
      </c>
      <c r="G23" s="7">
        <v>9.1270467321970892E-3</v>
      </c>
      <c r="H23" s="7"/>
      <c r="I23" s="7">
        <v>2.3758404724424999E-2</v>
      </c>
      <c r="J23" s="7">
        <v>1.3142947294363799E-3</v>
      </c>
      <c r="K23" s="7">
        <v>716.24133743041205</v>
      </c>
      <c r="L23" s="7">
        <v>0.20104955198008301</v>
      </c>
    </row>
    <row r="24" spans="1:12" x14ac:dyDescent="0.3">
      <c r="A24" s="11">
        <v>2012</v>
      </c>
      <c r="B24" s="14" t="s">
        <v>99</v>
      </c>
      <c r="C24" s="14" t="s">
        <v>100</v>
      </c>
      <c r="D24" s="7"/>
      <c r="E24" s="7"/>
      <c r="F24" s="7"/>
      <c r="G24" s="7"/>
      <c r="H24" s="7"/>
      <c r="I24" s="7"/>
      <c r="J24" s="7"/>
      <c r="K24" s="7">
        <v>716.89578610475996</v>
      </c>
      <c r="L24" s="7"/>
    </row>
    <row r="25" spans="1:12" x14ac:dyDescent="0.3">
      <c r="A25" s="11">
        <v>2013</v>
      </c>
      <c r="B25" s="14" t="s">
        <v>99</v>
      </c>
      <c r="C25" s="14" t="s">
        <v>100</v>
      </c>
      <c r="D25" s="7"/>
      <c r="E25" s="7"/>
      <c r="F25" s="7"/>
      <c r="G25" s="7"/>
      <c r="H25" s="7"/>
      <c r="I25" s="7"/>
      <c r="J25" s="7"/>
      <c r="K25" s="7">
        <v>716.88221791388196</v>
      </c>
      <c r="L25" s="7"/>
    </row>
    <row r="26" spans="1:12" x14ac:dyDescent="0.3">
      <c r="A26" s="11">
        <v>2014</v>
      </c>
      <c r="B26" s="14" t="s">
        <v>99</v>
      </c>
      <c r="C26" s="14" t="s">
        <v>100</v>
      </c>
      <c r="D26" s="7"/>
      <c r="E26" s="7"/>
      <c r="F26" s="7"/>
      <c r="G26" s="7"/>
      <c r="H26" s="7"/>
      <c r="I26" s="7"/>
      <c r="J26" s="7"/>
      <c r="K26" s="7">
        <v>716.86864972300395</v>
      </c>
      <c r="L26" s="7"/>
    </row>
    <row r="27" spans="1:12" x14ac:dyDescent="0.3">
      <c r="A27" s="11">
        <v>2015</v>
      </c>
      <c r="B27" s="14" t="s">
        <v>99</v>
      </c>
      <c r="C27" s="14" t="s">
        <v>100</v>
      </c>
      <c r="D27" s="7"/>
      <c r="E27" s="7"/>
      <c r="F27" s="7"/>
      <c r="G27" s="7"/>
      <c r="H27" s="7"/>
      <c r="I27" s="7"/>
      <c r="J27" s="7"/>
      <c r="K27" s="7">
        <v>716.85508153212595</v>
      </c>
      <c r="L27" s="7"/>
    </row>
    <row r="28" spans="1:12" x14ac:dyDescent="0.3">
      <c r="A28" s="11">
        <v>2016</v>
      </c>
      <c r="B28" s="14" t="s">
        <v>99</v>
      </c>
      <c r="C28" s="14" t="s">
        <v>100</v>
      </c>
      <c r="D28" s="7"/>
      <c r="E28" s="7"/>
      <c r="F28" s="7"/>
      <c r="G28" s="7"/>
      <c r="H28" s="7"/>
      <c r="I28" s="7"/>
      <c r="J28" s="7"/>
      <c r="K28" s="7">
        <v>717.17552177386096</v>
      </c>
      <c r="L28" s="7"/>
    </row>
    <row r="29" spans="1:12" x14ac:dyDescent="0.3">
      <c r="A29" s="11">
        <v>2017</v>
      </c>
      <c r="B29" s="14" t="s">
        <v>99</v>
      </c>
      <c r="C29" s="14" t="s">
        <v>100</v>
      </c>
      <c r="D29" s="7"/>
      <c r="E29" s="7"/>
      <c r="F29" s="7"/>
      <c r="G29" s="7"/>
      <c r="H29" s="7"/>
      <c r="I29" s="7"/>
      <c r="J29" s="7"/>
      <c r="K29" s="7">
        <v>717.49596201559598</v>
      </c>
      <c r="L29" s="7"/>
    </row>
    <row r="30" spans="1:12" x14ac:dyDescent="0.3">
      <c r="A30" s="11">
        <v>2018</v>
      </c>
      <c r="B30" s="14" t="s">
        <v>99</v>
      </c>
      <c r="C30" s="14" t="s">
        <v>100</v>
      </c>
      <c r="D30" s="7"/>
      <c r="E30" s="7"/>
      <c r="F30" s="7"/>
      <c r="G30" s="7"/>
      <c r="H30" s="7"/>
      <c r="I30" s="7"/>
      <c r="J30" s="7"/>
      <c r="K30" s="7">
        <v>717.81640225732997</v>
      </c>
      <c r="L30" s="7"/>
    </row>
    <row r="31" spans="1:12" x14ac:dyDescent="0.3">
      <c r="A31" s="11">
        <v>2019</v>
      </c>
      <c r="B31" s="14" t="s">
        <v>99</v>
      </c>
      <c r="C31" s="14" t="s">
        <v>100</v>
      </c>
      <c r="D31" s="7"/>
      <c r="E31" s="7"/>
      <c r="F31" s="7"/>
      <c r="G31" s="7"/>
      <c r="H31" s="7"/>
      <c r="I31" s="7"/>
      <c r="J31" s="7"/>
      <c r="K31" s="7">
        <v>718.13684249906498</v>
      </c>
      <c r="L31" s="7"/>
    </row>
    <row r="32" spans="1:12" x14ac:dyDescent="0.3">
      <c r="A32" s="11">
        <v>2020</v>
      </c>
      <c r="B32" s="14" t="s">
        <v>99</v>
      </c>
      <c r="C32" s="14" t="s">
        <v>100</v>
      </c>
      <c r="D32" s="7"/>
      <c r="E32" s="7"/>
      <c r="F32" s="7"/>
      <c r="G32" s="7"/>
      <c r="H32" s="7"/>
      <c r="I32" s="7"/>
      <c r="J32" s="7"/>
      <c r="K32" s="7">
        <v>718.4572827408</v>
      </c>
      <c r="L32" s="7"/>
    </row>
    <row r="33" spans="1:12" x14ac:dyDescent="0.3">
      <c r="A33" s="11">
        <v>2021</v>
      </c>
      <c r="B33" s="14" t="s">
        <v>99</v>
      </c>
      <c r="C33" s="14" t="s">
        <v>100</v>
      </c>
      <c r="D33" s="7"/>
      <c r="E33" s="7"/>
      <c r="F33" s="7"/>
      <c r="G33" s="7"/>
      <c r="H33" s="7"/>
      <c r="I33" s="7"/>
      <c r="J33" s="7"/>
      <c r="K33" s="7">
        <v>718.77772298253501</v>
      </c>
      <c r="L33" s="7"/>
    </row>
    <row r="34" spans="1:12" x14ac:dyDescent="0.3">
      <c r="A34" s="11">
        <v>2022</v>
      </c>
      <c r="B34" s="14" t="s">
        <v>99</v>
      </c>
      <c r="C34" s="14" t="s">
        <v>100</v>
      </c>
      <c r="D34" s="7"/>
      <c r="E34" s="7"/>
      <c r="F34" s="7"/>
      <c r="G34" s="7"/>
      <c r="H34" s="7"/>
      <c r="I34" s="7"/>
      <c r="J34" s="7"/>
      <c r="K34" s="7">
        <v>719.09816322427002</v>
      </c>
      <c r="L34" s="7"/>
    </row>
    <row r="35" spans="1:12" x14ac:dyDescent="0.3">
      <c r="A35" s="11">
        <v>2023</v>
      </c>
      <c r="B35" s="14" t="s">
        <v>99</v>
      </c>
      <c r="C35" s="14" t="s">
        <v>100</v>
      </c>
      <c r="D35" s="7">
        <v>12</v>
      </c>
      <c r="E35" s="7"/>
      <c r="F35" s="7">
        <v>0.28662420891899998</v>
      </c>
      <c r="G35" s="7">
        <v>1.58558073019167E-2</v>
      </c>
      <c r="H35" s="7"/>
      <c r="I35" s="7">
        <v>3.4394905070279998E-3</v>
      </c>
      <c r="J35" s="7">
        <v>1.9026968762300001E-4</v>
      </c>
      <c r="K35" s="7">
        <v>719.41860346600401</v>
      </c>
      <c r="L35" s="7">
        <v>1.6680135796025501E-2</v>
      </c>
    </row>
    <row r="36" spans="1:12" x14ac:dyDescent="0.3">
      <c r="A36" s="12">
        <v>2024</v>
      </c>
      <c r="B36" s="5" t="s">
        <v>99</v>
      </c>
      <c r="C36" s="5" t="s">
        <v>100</v>
      </c>
      <c r="D36" s="8"/>
      <c r="E36" s="8"/>
      <c r="F36" s="8"/>
      <c r="G36" s="8"/>
      <c r="H36" s="8"/>
      <c r="I36" s="8"/>
      <c r="J36" s="8"/>
      <c r="K36" s="8">
        <v>719.73904370773903</v>
      </c>
      <c r="L36" s="8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"/>
  <sheetViews>
    <sheetView workbookViewId="0">
      <pane ySplit="1" topLeftCell="A2" activePane="bottomLeft" state="frozen"/>
      <selection pane="bottomLeft" activeCell="B1" sqref="B1"/>
    </sheetView>
  </sheetViews>
  <sheetFormatPr defaultColWidth="11.5546875" defaultRowHeight="14.4" x14ac:dyDescent="0.3"/>
  <cols>
    <col min="1" max="1" width="4.77734375" customWidth="1"/>
    <col min="2" max="2" width="11.77734375" customWidth="1"/>
    <col min="3" max="3" width="4.109375" customWidth="1"/>
    <col min="4" max="4" width="9.77734375" customWidth="1"/>
    <col min="5" max="5" width="6.77734375" customWidth="1"/>
    <col min="6" max="6" width="7.77734375" customWidth="1"/>
    <col min="7" max="7" width="8.77734375" customWidth="1"/>
    <col min="8" max="8" width="5" customWidth="1"/>
    <col min="9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99</v>
      </c>
      <c r="C2" s="13" t="s">
        <v>100</v>
      </c>
      <c r="D2" s="6">
        <v>1041</v>
      </c>
      <c r="E2" s="6"/>
      <c r="F2" s="6">
        <v>9.3060000000000004E-2</v>
      </c>
      <c r="G2" s="6">
        <v>5.1479999999999998E-3</v>
      </c>
      <c r="H2" s="6"/>
      <c r="I2" s="6">
        <v>9.6875459999999997E-2</v>
      </c>
      <c r="J2" s="6">
        <v>5.3590679999999998E-3</v>
      </c>
      <c r="K2" s="6">
        <v>3809.2573060970899</v>
      </c>
      <c r="L2" s="6">
        <v>0.27328161800300999</v>
      </c>
    </row>
    <row r="3" spans="1:12" x14ac:dyDescent="0.3">
      <c r="A3" s="11">
        <v>1991</v>
      </c>
      <c r="B3" s="14" t="s">
        <v>99</v>
      </c>
      <c r="C3" s="14" t="s">
        <v>100</v>
      </c>
      <c r="D3" s="7">
        <v>511</v>
      </c>
      <c r="E3" s="7"/>
      <c r="F3" s="7">
        <v>9.3060000000000004E-2</v>
      </c>
      <c r="G3" s="7">
        <v>5.1479999999999998E-3</v>
      </c>
      <c r="H3" s="7"/>
      <c r="I3" s="7">
        <v>4.7553659999999998E-2</v>
      </c>
      <c r="J3" s="7">
        <v>2.6306279999999999E-3</v>
      </c>
      <c r="K3" s="7">
        <v>3813.4220372896002</v>
      </c>
      <c r="L3" s="7">
        <v>0.134000379450053</v>
      </c>
    </row>
    <row r="4" spans="1:12" x14ac:dyDescent="0.3">
      <c r="A4" s="11">
        <v>1992</v>
      </c>
      <c r="B4" s="14" t="s">
        <v>99</v>
      </c>
      <c r="C4" s="14" t="s">
        <v>100</v>
      </c>
      <c r="D4" s="7">
        <v>5243</v>
      </c>
      <c r="E4" s="7"/>
      <c r="F4" s="7">
        <v>9.3060000000000004E-2</v>
      </c>
      <c r="G4" s="7">
        <v>5.1479999999999998E-3</v>
      </c>
      <c r="H4" s="7"/>
      <c r="I4" s="7">
        <v>0.48791358000000001</v>
      </c>
      <c r="J4" s="7">
        <v>2.6990963999999999E-2</v>
      </c>
      <c r="K4" s="7">
        <v>3817.5867684821101</v>
      </c>
      <c r="L4" s="7">
        <v>1.3733807030362899</v>
      </c>
    </row>
    <row r="5" spans="1:12" x14ac:dyDescent="0.3">
      <c r="A5" s="11">
        <v>1993</v>
      </c>
      <c r="B5" s="14" t="s">
        <v>99</v>
      </c>
      <c r="C5" s="14" t="s">
        <v>100</v>
      </c>
      <c r="D5" s="7">
        <v>18164</v>
      </c>
      <c r="E5" s="7"/>
      <c r="F5" s="7">
        <v>9.3060000000000004E-2</v>
      </c>
      <c r="G5" s="7">
        <v>5.1479999999999998E-3</v>
      </c>
      <c r="H5" s="7"/>
      <c r="I5" s="7">
        <v>1.6903418400000001</v>
      </c>
      <c r="J5" s="7">
        <v>9.3508272000000003E-2</v>
      </c>
      <c r="K5" s="7">
        <v>3821.7514996746199</v>
      </c>
      <c r="L5" s="7">
        <v>4.75279462873148</v>
      </c>
    </row>
    <row r="6" spans="1:12" x14ac:dyDescent="0.3">
      <c r="A6" s="11">
        <v>1994</v>
      </c>
      <c r="B6" s="14" t="s">
        <v>99</v>
      </c>
      <c r="C6" s="14" t="s">
        <v>100</v>
      </c>
      <c r="D6" s="7">
        <v>18100</v>
      </c>
      <c r="E6" s="7"/>
      <c r="F6" s="7">
        <v>9.3060000000000004E-2</v>
      </c>
      <c r="G6" s="7">
        <v>5.1479999999999998E-3</v>
      </c>
      <c r="H6" s="7"/>
      <c r="I6" s="7">
        <v>1.6843859999999999</v>
      </c>
      <c r="J6" s="7">
        <v>9.3178800000000006E-2</v>
      </c>
      <c r="K6" s="7">
        <v>3825.9162308671298</v>
      </c>
      <c r="L6" s="7">
        <v>4.7308929176156296</v>
      </c>
    </row>
    <row r="7" spans="1:12" x14ac:dyDescent="0.3">
      <c r="A7" s="11">
        <v>1995</v>
      </c>
      <c r="B7" s="14" t="s">
        <v>99</v>
      </c>
      <c r="C7" s="14" t="s">
        <v>100</v>
      </c>
      <c r="D7" s="7">
        <v>549</v>
      </c>
      <c r="E7" s="7"/>
      <c r="F7" s="7">
        <v>9.3060000000000004E-2</v>
      </c>
      <c r="G7" s="7">
        <v>5.1479999999999998E-3</v>
      </c>
      <c r="H7" s="7"/>
      <c r="I7" s="7">
        <v>5.108994E-2</v>
      </c>
      <c r="J7" s="7">
        <v>2.826252E-3</v>
      </c>
      <c r="K7" s="7">
        <v>3830.0809620596401</v>
      </c>
      <c r="L7" s="7">
        <v>0.143339006521881</v>
      </c>
    </row>
    <row r="8" spans="1:12" x14ac:dyDescent="0.3">
      <c r="A8" s="11">
        <v>1996</v>
      </c>
      <c r="B8" s="14" t="s">
        <v>99</v>
      </c>
      <c r="C8" s="14" t="s">
        <v>100</v>
      </c>
      <c r="D8" s="7">
        <v>2150</v>
      </c>
      <c r="E8" s="7"/>
      <c r="F8" s="7">
        <v>9.3060000000000004E-2</v>
      </c>
      <c r="G8" s="7">
        <v>5.1479999999999998E-3</v>
      </c>
      <c r="H8" s="7"/>
      <c r="I8" s="7">
        <v>0.20007900000000001</v>
      </c>
      <c r="J8" s="7">
        <v>1.10682E-2</v>
      </c>
      <c r="K8" s="7">
        <v>3834.24569325216</v>
      </c>
      <c r="L8" s="7">
        <v>0.56073610613523195</v>
      </c>
    </row>
    <row r="9" spans="1:12" x14ac:dyDescent="0.3">
      <c r="A9" s="11">
        <v>1997</v>
      </c>
      <c r="B9" s="14" t="s">
        <v>99</v>
      </c>
      <c r="C9" s="14" t="s">
        <v>100</v>
      </c>
      <c r="D9" s="7">
        <v>777</v>
      </c>
      <c r="E9" s="7"/>
      <c r="F9" s="7">
        <v>9.3060000000000004E-2</v>
      </c>
      <c r="G9" s="7">
        <v>5.1479999999999998E-3</v>
      </c>
      <c r="H9" s="7"/>
      <c r="I9" s="7">
        <v>7.2307620000000003E-2</v>
      </c>
      <c r="J9" s="7">
        <v>3.9999959999999996E-3</v>
      </c>
      <c r="K9" s="7">
        <v>3838.4104244446698</v>
      </c>
      <c r="L9" s="7">
        <v>0.20242754528065199</v>
      </c>
    </row>
    <row r="10" spans="1:12" x14ac:dyDescent="0.3">
      <c r="A10" s="11">
        <v>1998</v>
      </c>
      <c r="B10" s="14" t="s">
        <v>99</v>
      </c>
      <c r="C10" s="14" t="s">
        <v>100</v>
      </c>
      <c r="D10" s="7">
        <v>6967</v>
      </c>
      <c r="E10" s="7"/>
      <c r="F10" s="7">
        <v>9.3060000000000004E-2</v>
      </c>
      <c r="G10" s="7">
        <v>5.1479999999999998E-3</v>
      </c>
      <c r="H10" s="7"/>
      <c r="I10" s="7">
        <v>0.64834902000000005</v>
      </c>
      <c r="J10" s="7">
        <v>3.5866116000000003E-2</v>
      </c>
      <c r="K10" s="7">
        <v>3842.5751556371802</v>
      </c>
      <c r="L10" s="7">
        <v>1.81310702271605</v>
      </c>
    </row>
    <row r="11" spans="1:12" x14ac:dyDescent="0.3">
      <c r="A11" s="11">
        <v>1999</v>
      </c>
      <c r="B11" s="14" t="s">
        <v>99</v>
      </c>
      <c r="C11" s="14" t="s">
        <v>100</v>
      </c>
      <c r="D11" s="7">
        <v>8291</v>
      </c>
      <c r="E11" s="7"/>
      <c r="F11" s="7">
        <v>9.3060000000000004E-2</v>
      </c>
      <c r="G11" s="7">
        <v>5.1479999999999998E-3</v>
      </c>
      <c r="H11" s="7"/>
      <c r="I11" s="7">
        <v>0.77156046</v>
      </c>
      <c r="J11" s="7">
        <v>4.2682067999999997E-2</v>
      </c>
      <c r="K11" s="7">
        <v>3846.73988682969</v>
      </c>
      <c r="L11" s="7">
        <v>2.15533159088463</v>
      </c>
    </row>
    <row r="12" spans="1:12" x14ac:dyDescent="0.3">
      <c r="A12" s="11">
        <v>2000</v>
      </c>
      <c r="B12" s="14" t="s">
        <v>99</v>
      </c>
      <c r="C12" s="14" t="s">
        <v>100</v>
      </c>
      <c r="D12" s="7">
        <v>57915.4</v>
      </c>
      <c r="E12" s="7"/>
      <c r="F12" s="7">
        <v>9.3060000000000004E-2</v>
      </c>
      <c r="G12" s="7">
        <v>5.1479999999999998E-3</v>
      </c>
      <c r="H12" s="7"/>
      <c r="I12" s="7">
        <v>5.3896071240000003</v>
      </c>
      <c r="J12" s="7">
        <v>0.29814847919999998</v>
      </c>
      <c r="K12" s="7">
        <v>3850.9046180221999</v>
      </c>
      <c r="L12" s="7">
        <v>15.039427289098899</v>
      </c>
    </row>
    <row r="13" spans="1:12" x14ac:dyDescent="0.3">
      <c r="A13" s="11">
        <v>2001</v>
      </c>
      <c r="B13" s="14" t="s">
        <v>99</v>
      </c>
      <c r="C13" s="14" t="s">
        <v>100</v>
      </c>
      <c r="D13" s="7">
        <v>20173.035</v>
      </c>
      <c r="E13" s="7"/>
      <c r="F13" s="7">
        <v>9.3060000000000004E-2</v>
      </c>
      <c r="G13" s="7">
        <v>5.1479999999999998E-3</v>
      </c>
      <c r="H13" s="7"/>
      <c r="I13" s="7">
        <v>1.8773026370999999</v>
      </c>
      <c r="J13" s="7">
        <v>0.10385078418</v>
      </c>
      <c r="K13" s="7">
        <v>3855.0693492147102</v>
      </c>
      <c r="L13" s="7">
        <v>5.2328591712907304</v>
      </c>
    </row>
    <row r="14" spans="1:12" x14ac:dyDescent="0.3">
      <c r="A14" s="11">
        <v>2002</v>
      </c>
      <c r="B14" s="14" t="s">
        <v>99</v>
      </c>
      <c r="C14" s="14" t="s">
        <v>100</v>
      </c>
      <c r="D14" s="7">
        <v>6513</v>
      </c>
      <c r="E14" s="7"/>
      <c r="F14" s="7">
        <v>9.3060000000000004E-2</v>
      </c>
      <c r="G14" s="7">
        <v>5.1479999999999998E-3</v>
      </c>
      <c r="H14" s="7"/>
      <c r="I14" s="7">
        <v>0.60609977999999998</v>
      </c>
      <c r="J14" s="7">
        <v>3.3528924000000002E-2</v>
      </c>
      <c r="K14" s="7">
        <v>3859.2340804072201</v>
      </c>
      <c r="L14" s="7">
        <v>1.6876405691651499</v>
      </c>
    </row>
    <row r="15" spans="1:12" x14ac:dyDescent="0.3">
      <c r="A15" s="11">
        <v>2003</v>
      </c>
      <c r="B15" s="14" t="s">
        <v>99</v>
      </c>
      <c r="C15" s="14" t="s">
        <v>100</v>
      </c>
      <c r="D15" s="7">
        <v>5105.5450000000001</v>
      </c>
      <c r="E15" s="7"/>
      <c r="F15" s="7">
        <v>9.3060000000000004E-2</v>
      </c>
      <c r="G15" s="7">
        <v>5.1479999999999998E-3</v>
      </c>
      <c r="H15" s="7"/>
      <c r="I15" s="7">
        <v>0.47512201770000001</v>
      </c>
      <c r="J15" s="7">
        <v>2.6283345659999999E-2</v>
      </c>
      <c r="K15" s="7">
        <v>3863.3988115997299</v>
      </c>
      <c r="L15" s="7">
        <v>1.3215164286614101</v>
      </c>
    </row>
    <row r="16" spans="1:12" x14ac:dyDescent="0.3">
      <c r="A16" s="11">
        <v>2004</v>
      </c>
      <c r="B16" s="14" t="s">
        <v>99</v>
      </c>
      <c r="C16" s="14" t="s">
        <v>100</v>
      </c>
      <c r="D16" s="7">
        <v>1139.9000000000001</v>
      </c>
      <c r="E16" s="7"/>
      <c r="F16" s="7">
        <v>9.3060000000000004E-2</v>
      </c>
      <c r="G16" s="7">
        <v>5.1479999999999998E-3</v>
      </c>
      <c r="H16" s="7"/>
      <c r="I16" s="7">
        <v>0.106079094</v>
      </c>
      <c r="J16" s="7">
        <v>5.8682051999999997E-3</v>
      </c>
      <c r="K16" s="7">
        <v>3867.5635427922498</v>
      </c>
      <c r="L16" s="7">
        <v>0.29473336052212101</v>
      </c>
    </row>
    <row r="17" spans="1:12" x14ac:dyDescent="0.3">
      <c r="A17" s="11">
        <v>2005</v>
      </c>
      <c r="B17" s="14" t="s">
        <v>99</v>
      </c>
      <c r="C17" s="14" t="s">
        <v>100</v>
      </c>
      <c r="D17" s="7">
        <v>1446.2</v>
      </c>
      <c r="E17" s="7"/>
      <c r="F17" s="7">
        <v>9.3060000000000004E-2</v>
      </c>
      <c r="G17" s="7">
        <v>5.1479999999999998E-3</v>
      </c>
      <c r="H17" s="7"/>
      <c r="I17" s="7">
        <v>0.13458337200000001</v>
      </c>
      <c r="J17" s="7">
        <v>7.4450376E-3</v>
      </c>
      <c r="K17" s="7">
        <v>3871.7282739847601</v>
      </c>
      <c r="L17" s="7">
        <v>0.37352827927451099</v>
      </c>
    </row>
    <row r="18" spans="1:12" x14ac:dyDescent="0.3">
      <c r="A18" s="11">
        <v>2006</v>
      </c>
      <c r="B18" s="14" t="s">
        <v>101</v>
      </c>
      <c r="C18" s="14" t="s">
        <v>101</v>
      </c>
      <c r="D18" s="7"/>
      <c r="E18" s="7"/>
      <c r="F18" s="7"/>
      <c r="G18" s="7"/>
      <c r="H18" s="7"/>
      <c r="I18" s="7">
        <v>0.3449306124</v>
      </c>
      <c r="J18" s="7">
        <v>1.9081267919999999E-2</v>
      </c>
      <c r="K18" s="7">
        <v>3875.89300517727</v>
      </c>
      <c r="L18" s="7"/>
    </row>
    <row r="19" spans="1:12" x14ac:dyDescent="0.3">
      <c r="A19" s="11">
        <v>2007</v>
      </c>
      <c r="B19" s="14" t="s">
        <v>99</v>
      </c>
      <c r="C19" s="14" t="s">
        <v>100</v>
      </c>
      <c r="D19" s="7">
        <v>43434.6</v>
      </c>
      <c r="E19" s="7"/>
      <c r="F19" s="7">
        <v>9.3060000000000004E-2</v>
      </c>
      <c r="G19" s="7">
        <v>5.1479999999999998E-3</v>
      </c>
      <c r="H19" s="7"/>
      <c r="I19" s="7">
        <v>4.042023876</v>
      </c>
      <c r="J19" s="7">
        <v>0.2236013208</v>
      </c>
      <c r="K19" s="7">
        <v>3880.0577363697798</v>
      </c>
      <c r="L19" s="7">
        <v>11.194317958948201</v>
      </c>
    </row>
    <row r="20" spans="1:12" x14ac:dyDescent="0.3">
      <c r="A20" s="11">
        <v>2008</v>
      </c>
      <c r="B20" s="14" t="s">
        <v>99</v>
      </c>
      <c r="C20" s="14" t="s">
        <v>100</v>
      </c>
      <c r="D20" s="7">
        <v>5439.1</v>
      </c>
      <c r="E20" s="7"/>
      <c r="F20" s="7">
        <v>9.3060000000000004E-2</v>
      </c>
      <c r="G20" s="7">
        <v>5.1479999999999998E-3</v>
      </c>
      <c r="H20" s="7"/>
      <c r="I20" s="7">
        <v>0.50616264600000005</v>
      </c>
      <c r="J20" s="7">
        <v>2.8000486799999998E-2</v>
      </c>
      <c r="K20" s="7">
        <v>3884.2224675622901</v>
      </c>
      <c r="L20" s="7">
        <v>1.40030599313575</v>
      </c>
    </row>
    <row r="21" spans="1:12" x14ac:dyDescent="0.3">
      <c r="A21" s="11">
        <v>2009</v>
      </c>
      <c r="B21" s="14" t="s">
        <v>99</v>
      </c>
      <c r="C21" s="14" t="s">
        <v>100</v>
      </c>
      <c r="D21" s="7">
        <v>2270.8000000000002</v>
      </c>
      <c r="E21" s="7"/>
      <c r="F21" s="7">
        <v>9.3060000000000004E-2</v>
      </c>
      <c r="G21" s="7">
        <v>5.1479999999999998E-3</v>
      </c>
      <c r="H21" s="7"/>
      <c r="I21" s="7">
        <v>0.211320648</v>
      </c>
      <c r="J21" s="7">
        <v>1.16900784E-2</v>
      </c>
      <c r="K21" s="7">
        <v>3888.3871987548</v>
      </c>
      <c r="L21" s="7">
        <v>0.58399533892282895</v>
      </c>
    </row>
    <row r="22" spans="1:12" x14ac:dyDescent="0.3">
      <c r="A22" s="11">
        <v>2010</v>
      </c>
      <c r="B22" s="14" t="s">
        <v>99</v>
      </c>
      <c r="C22" s="14" t="s">
        <v>100</v>
      </c>
      <c r="D22" s="7">
        <v>6529.3530000000001</v>
      </c>
      <c r="E22" s="7"/>
      <c r="F22" s="7">
        <v>9.3060000000000004E-2</v>
      </c>
      <c r="G22" s="7">
        <v>5.1479999999999998E-3</v>
      </c>
      <c r="H22" s="7"/>
      <c r="I22" s="7">
        <v>0.60762159017999995</v>
      </c>
      <c r="J22" s="7">
        <v>3.3613109244000003E-2</v>
      </c>
      <c r="K22" s="7">
        <v>3892.5519299473099</v>
      </c>
      <c r="L22" s="7">
        <v>1.6773965042743499</v>
      </c>
    </row>
    <row r="23" spans="1:12" x14ac:dyDescent="0.3">
      <c r="A23" s="11">
        <v>2011</v>
      </c>
      <c r="B23" s="14" t="s">
        <v>99</v>
      </c>
      <c r="C23" s="14" t="s">
        <v>100</v>
      </c>
      <c r="D23" s="7">
        <v>7164.3</v>
      </c>
      <c r="E23" s="7"/>
      <c r="F23" s="7">
        <v>9.3060000000000004E-2</v>
      </c>
      <c r="G23" s="7">
        <v>5.1479999999999998E-3</v>
      </c>
      <c r="H23" s="7"/>
      <c r="I23" s="7">
        <v>0.66670975799999999</v>
      </c>
      <c r="J23" s="7">
        <v>3.6881816400000003E-2</v>
      </c>
      <c r="K23" s="7">
        <v>3895.2087369525798</v>
      </c>
      <c r="L23" s="7">
        <v>1.83925958371232</v>
      </c>
    </row>
    <row r="24" spans="1:12" x14ac:dyDescent="0.3">
      <c r="A24" s="11">
        <v>2012</v>
      </c>
      <c r="B24" s="14" t="s">
        <v>99</v>
      </c>
      <c r="C24" s="14" t="s">
        <v>100</v>
      </c>
      <c r="D24" s="7">
        <v>13045.7</v>
      </c>
      <c r="E24" s="7"/>
      <c r="F24" s="7">
        <v>9.3060000000000004E-2</v>
      </c>
      <c r="G24" s="7">
        <v>5.1479999999999998E-3</v>
      </c>
      <c r="H24" s="7"/>
      <c r="I24" s="7">
        <v>1.2140328419999999</v>
      </c>
      <c r="J24" s="7">
        <v>6.7159263600000005E-2</v>
      </c>
      <c r="K24" s="7">
        <v>3897.8655439578502</v>
      </c>
      <c r="L24" s="7">
        <v>3.3468830191493799</v>
      </c>
    </row>
    <row r="25" spans="1:12" x14ac:dyDescent="0.3">
      <c r="A25" s="11">
        <v>2013</v>
      </c>
      <c r="B25" s="14" t="s">
        <v>99</v>
      </c>
      <c r="C25" s="14" t="s">
        <v>100</v>
      </c>
      <c r="D25" s="7">
        <v>3317.5066000000002</v>
      </c>
      <c r="E25" s="7"/>
      <c r="F25" s="7">
        <v>9.3060000000000004E-2</v>
      </c>
      <c r="G25" s="7">
        <v>5.1479999999999998E-3</v>
      </c>
      <c r="H25" s="7"/>
      <c r="I25" s="7">
        <v>0.30872716419599999</v>
      </c>
      <c r="J25" s="7">
        <v>1.70785239768E-2</v>
      </c>
      <c r="K25" s="7">
        <v>3900.5223509631201</v>
      </c>
      <c r="L25" s="7">
        <v>0.85052880140036602</v>
      </c>
    </row>
    <row r="26" spans="1:12" x14ac:dyDescent="0.3">
      <c r="A26" s="11">
        <v>2014</v>
      </c>
      <c r="B26" s="14" t="s">
        <v>99</v>
      </c>
      <c r="C26" s="14" t="s">
        <v>100</v>
      </c>
      <c r="D26" s="7">
        <v>924.3</v>
      </c>
      <c r="E26" s="7"/>
      <c r="F26" s="7">
        <v>9.3060000000000004E-2</v>
      </c>
      <c r="G26" s="7">
        <v>5.1479999999999998E-3</v>
      </c>
      <c r="H26" s="7"/>
      <c r="I26" s="7">
        <v>8.6015358E-2</v>
      </c>
      <c r="J26" s="7">
        <v>4.7582963999999997E-3</v>
      </c>
      <c r="K26" s="7">
        <v>3903.17915796839</v>
      </c>
      <c r="L26" s="7">
        <v>0.23680696237400001</v>
      </c>
    </row>
    <row r="27" spans="1:12" x14ac:dyDescent="0.3">
      <c r="A27" s="11">
        <v>2015</v>
      </c>
      <c r="B27" s="14" t="s">
        <v>99</v>
      </c>
      <c r="C27" s="14" t="s">
        <v>100</v>
      </c>
      <c r="D27" s="7">
        <v>5489.6</v>
      </c>
      <c r="E27" s="7"/>
      <c r="F27" s="7">
        <v>9.3060000000000004E-2</v>
      </c>
      <c r="G27" s="7">
        <v>5.1479999999999998E-3</v>
      </c>
      <c r="H27" s="7"/>
      <c r="I27" s="7">
        <v>0.51086217599999995</v>
      </c>
      <c r="J27" s="7">
        <v>2.8260460800000001E-2</v>
      </c>
      <c r="K27" s="7">
        <v>3905.8359649736499</v>
      </c>
      <c r="L27" s="7">
        <v>1.40548657169145</v>
      </c>
    </row>
    <row r="28" spans="1:12" x14ac:dyDescent="0.3">
      <c r="A28" s="11">
        <v>2016</v>
      </c>
      <c r="B28" s="14" t="s">
        <v>99</v>
      </c>
      <c r="C28" s="14" t="s">
        <v>100</v>
      </c>
      <c r="D28" s="7">
        <v>6340.3</v>
      </c>
      <c r="E28" s="7"/>
      <c r="F28" s="7">
        <v>9.3060000000000004E-2</v>
      </c>
      <c r="G28" s="7">
        <v>5.1479999999999998E-3</v>
      </c>
      <c r="H28" s="7"/>
      <c r="I28" s="7">
        <v>0.590028318</v>
      </c>
      <c r="J28" s="7">
        <v>3.2639864400000003E-2</v>
      </c>
      <c r="K28" s="7">
        <v>3908.4927719789198</v>
      </c>
      <c r="L28" s="7">
        <v>1.62218542284519</v>
      </c>
    </row>
    <row r="29" spans="1:12" x14ac:dyDescent="0.3">
      <c r="A29" s="11">
        <v>2017</v>
      </c>
      <c r="B29" s="14" t="s">
        <v>99</v>
      </c>
      <c r="C29" s="14" t="s">
        <v>100</v>
      </c>
      <c r="D29" s="7">
        <v>4569.1400000000003</v>
      </c>
      <c r="E29" s="7"/>
      <c r="F29" s="7">
        <v>9.3060000000000004E-2</v>
      </c>
      <c r="G29" s="7">
        <v>5.1479999999999998E-3</v>
      </c>
      <c r="H29" s="7"/>
      <c r="I29" s="7">
        <v>0.42520416840000003</v>
      </c>
      <c r="J29" s="7">
        <v>2.3521932719999999E-2</v>
      </c>
      <c r="K29" s="7">
        <v>3911.1495789841902</v>
      </c>
      <c r="L29" s="7">
        <v>1.16823453251479</v>
      </c>
    </row>
    <row r="30" spans="1:12" x14ac:dyDescent="0.3">
      <c r="A30" s="11">
        <v>2018</v>
      </c>
      <c r="B30" s="14" t="s">
        <v>99</v>
      </c>
      <c r="C30" s="14" t="s">
        <v>100</v>
      </c>
      <c r="D30" s="7">
        <v>1453.1</v>
      </c>
      <c r="E30" s="7"/>
      <c r="F30" s="7">
        <v>9.3060000000000004E-2</v>
      </c>
      <c r="G30" s="7">
        <v>5.1479999999999998E-3</v>
      </c>
      <c r="H30" s="7"/>
      <c r="I30" s="7">
        <v>0.13522548600000001</v>
      </c>
      <c r="J30" s="7">
        <v>7.4805588000000003E-3</v>
      </c>
      <c r="K30" s="7">
        <v>3913.8063859894601</v>
      </c>
      <c r="L30" s="7">
        <v>0.37127539195647702</v>
      </c>
    </row>
    <row r="31" spans="1:12" x14ac:dyDescent="0.3">
      <c r="A31" s="11">
        <v>2019</v>
      </c>
      <c r="B31" s="14" t="s">
        <v>99</v>
      </c>
      <c r="C31" s="14" t="s">
        <v>100</v>
      </c>
      <c r="D31" s="7">
        <v>5739.92</v>
      </c>
      <c r="E31" s="7"/>
      <c r="F31" s="7">
        <v>9.3060000000000004E-2</v>
      </c>
      <c r="G31" s="7">
        <v>5.1479999999999998E-3</v>
      </c>
      <c r="H31" s="7"/>
      <c r="I31" s="7">
        <v>0.53415695519999995</v>
      </c>
      <c r="J31" s="7">
        <v>2.954910816E-2</v>
      </c>
      <c r="K31" s="7">
        <v>3916.46319299473</v>
      </c>
      <c r="L31" s="7">
        <v>1.4655876277011499</v>
      </c>
    </row>
    <row r="32" spans="1:12" x14ac:dyDescent="0.3">
      <c r="A32" s="11">
        <v>2020</v>
      </c>
      <c r="B32" s="14" t="s">
        <v>99</v>
      </c>
      <c r="C32" s="14" t="s">
        <v>100</v>
      </c>
      <c r="D32" s="7">
        <v>5257.9009999999998</v>
      </c>
      <c r="E32" s="7"/>
      <c r="F32" s="7">
        <v>9.3060000000000004E-2</v>
      </c>
      <c r="G32" s="7">
        <v>5.1479999999999998E-3</v>
      </c>
      <c r="H32" s="7"/>
      <c r="I32" s="7">
        <v>0.48930026706000002</v>
      </c>
      <c r="J32" s="7">
        <v>2.7067674348E-2</v>
      </c>
      <c r="K32" s="7">
        <v>3919.12</v>
      </c>
      <c r="L32" s="7">
        <v>1.3416024515707601</v>
      </c>
    </row>
    <row r="33" spans="1:12" x14ac:dyDescent="0.3">
      <c r="A33" s="11">
        <v>2021</v>
      </c>
      <c r="B33" s="14" t="s">
        <v>99</v>
      </c>
      <c r="C33" s="14" t="s">
        <v>100</v>
      </c>
      <c r="D33" s="7">
        <v>3143.4</v>
      </c>
      <c r="E33" s="7"/>
      <c r="F33" s="7">
        <v>9.3060000000000004E-2</v>
      </c>
      <c r="G33" s="7">
        <v>5.1479999999999998E-3</v>
      </c>
      <c r="H33" s="7"/>
      <c r="I33" s="7">
        <v>0.29252480400000003</v>
      </c>
      <c r="J33" s="7">
        <v>1.6182223200000002E-2</v>
      </c>
      <c r="K33" s="7">
        <v>3920.62914861012</v>
      </c>
      <c r="L33" s="7">
        <v>0.80175907510006394</v>
      </c>
    </row>
    <row r="34" spans="1:12" x14ac:dyDescent="0.3">
      <c r="A34" s="11">
        <v>2022</v>
      </c>
      <c r="B34" s="14" t="s">
        <v>99</v>
      </c>
      <c r="C34" s="14" t="s">
        <v>100</v>
      </c>
      <c r="D34" s="7">
        <v>8126</v>
      </c>
      <c r="E34" s="7"/>
      <c r="F34" s="7">
        <v>9.3060000000000004E-2</v>
      </c>
      <c r="G34" s="7">
        <v>5.1479999999999998E-3</v>
      </c>
      <c r="H34" s="7"/>
      <c r="I34" s="7">
        <v>0.75620556000000005</v>
      </c>
      <c r="J34" s="7">
        <v>4.1832648E-2</v>
      </c>
      <c r="K34" s="7">
        <v>3925.3087149053199</v>
      </c>
      <c r="L34" s="7">
        <v>2.0701556463937898</v>
      </c>
    </row>
    <row r="35" spans="1:12" x14ac:dyDescent="0.3">
      <c r="A35" s="11">
        <v>2023</v>
      </c>
      <c r="B35" s="14" t="s">
        <v>99</v>
      </c>
      <c r="C35" s="14" t="s">
        <v>100</v>
      </c>
      <c r="D35" s="7">
        <v>9467</v>
      </c>
      <c r="E35" s="7"/>
      <c r="F35" s="7">
        <v>9.3060000000000004E-2</v>
      </c>
      <c r="G35" s="7">
        <v>5.1479999999999998E-3</v>
      </c>
      <c r="H35" s="7"/>
      <c r="I35" s="7">
        <v>0.88099901999999997</v>
      </c>
      <c r="J35" s="7">
        <v>4.8736116000000003E-2</v>
      </c>
      <c r="K35" s="7">
        <v>3933.4550446089402</v>
      </c>
      <c r="L35" s="7">
        <v>2.40678993216794</v>
      </c>
    </row>
    <row r="36" spans="1:12" x14ac:dyDescent="0.3">
      <c r="A36" s="12">
        <v>2024</v>
      </c>
      <c r="B36" s="5" t="s">
        <v>99</v>
      </c>
      <c r="C36" s="5" t="s">
        <v>100</v>
      </c>
      <c r="D36" s="8">
        <v>17116</v>
      </c>
      <c r="E36" s="8"/>
      <c r="F36" s="8">
        <v>9.3060000000000004E-2</v>
      </c>
      <c r="G36" s="8">
        <v>5.1479999999999998E-3</v>
      </c>
      <c r="H36" s="8"/>
      <c r="I36" s="8">
        <v>1.5928149599999999</v>
      </c>
      <c r="J36" s="8">
        <v>8.8113168000000006E-2</v>
      </c>
      <c r="K36" s="8">
        <v>3938.0891146787599</v>
      </c>
      <c r="L36" s="8">
        <v>4.3462703614811904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.77734375" customWidth="1"/>
    <col min="2" max="2" width="11.77734375" customWidth="1"/>
    <col min="3" max="3" width="4.109375" customWidth="1"/>
    <col min="4" max="4" width="7.77734375" customWidth="1"/>
    <col min="5" max="5" width="6.77734375" customWidth="1"/>
    <col min="6" max="7" width="8.77734375" customWidth="1"/>
    <col min="8" max="8" width="5" customWidth="1"/>
    <col min="9" max="10" width="11.77734375" customWidth="1"/>
    <col min="11" max="11" width="8.77734375" customWidth="1"/>
    <col min="12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99</v>
      </c>
      <c r="C2" s="13" t="s">
        <v>100</v>
      </c>
      <c r="D2" s="6">
        <v>1067.43</v>
      </c>
      <c r="E2" s="6"/>
      <c r="F2" s="6">
        <v>0.57672299999999999</v>
      </c>
      <c r="G2" s="6">
        <v>3.1904000000000002E-2</v>
      </c>
      <c r="H2" s="6"/>
      <c r="I2" s="6">
        <v>0.61561143189</v>
      </c>
      <c r="J2" s="6">
        <v>3.4055286720000001E-2</v>
      </c>
      <c r="K2" s="6">
        <v>1173.317</v>
      </c>
      <c r="L2" s="6">
        <v>0.90975414146390099</v>
      </c>
    </row>
    <row r="3" spans="1:12" x14ac:dyDescent="0.3">
      <c r="A3" s="11">
        <v>1991</v>
      </c>
      <c r="B3" s="14" t="s">
        <v>99</v>
      </c>
      <c r="C3" s="14" t="s">
        <v>100</v>
      </c>
      <c r="D3" s="7">
        <v>71.63</v>
      </c>
      <c r="E3" s="7"/>
      <c r="F3" s="7">
        <v>0.58143</v>
      </c>
      <c r="G3" s="7">
        <v>3.2163999999999998E-2</v>
      </c>
      <c r="H3" s="7"/>
      <c r="I3" s="7">
        <v>4.1647830900000002E-2</v>
      </c>
      <c r="J3" s="7">
        <v>2.30390732E-3</v>
      </c>
      <c r="K3" s="7">
        <v>1175.8499999999999</v>
      </c>
      <c r="L3" s="7">
        <v>6.0917634051962398E-2</v>
      </c>
    </row>
    <row r="4" spans="1:12" x14ac:dyDescent="0.3">
      <c r="A4" s="11">
        <v>1992</v>
      </c>
      <c r="B4" s="14" t="s">
        <v>99</v>
      </c>
      <c r="C4" s="14" t="s">
        <v>100</v>
      </c>
      <c r="D4" s="7">
        <v>30.94</v>
      </c>
      <c r="E4" s="7"/>
      <c r="F4" s="7">
        <v>0.58496499999999996</v>
      </c>
      <c r="G4" s="7">
        <v>3.236E-2</v>
      </c>
      <c r="H4" s="7"/>
      <c r="I4" s="7">
        <v>1.8098817100000001E-2</v>
      </c>
      <c r="J4" s="7">
        <v>1.0012184E-3</v>
      </c>
      <c r="K4" s="7">
        <v>1178.366</v>
      </c>
      <c r="L4" s="7">
        <v>2.6256697834119502E-2</v>
      </c>
    </row>
    <row r="5" spans="1:12" x14ac:dyDescent="0.3">
      <c r="A5" s="11">
        <v>1993</v>
      </c>
      <c r="B5" s="14" t="s">
        <v>99</v>
      </c>
      <c r="C5" s="14" t="s">
        <v>100</v>
      </c>
      <c r="D5" s="7">
        <v>17.98</v>
      </c>
      <c r="E5" s="7"/>
      <c r="F5" s="7">
        <v>0.58967999999999998</v>
      </c>
      <c r="G5" s="7">
        <v>3.2620999999999997E-2</v>
      </c>
      <c r="H5" s="7"/>
      <c r="I5" s="7">
        <v>1.06024464E-2</v>
      </c>
      <c r="J5" s="7">
        <v>5.8652558000000003E-4</v>
      </c>
      <c r="K5" s="7">
        <v>1180.8040000000001</v>
      </c>
      <c r="L5" s="7">
        <v>1.5226913187963501E-2</v>
      </c>
    </row>
    <row r="6" spans="1:12" x14ac:dyDescent="0.3">
      <c r="A6" s="11">
        <v>1994</v>
      </c>
      <c r="B6" s="14" t="s">
        <v>99</v>
      </c>
      <c r="C6" s="14" t="s">
        <v>100</v>
      </c>
      <c r="D6" s="7">
        <v>235.16</v>
      </c>
      <c r="E6" s="7"/>
      <c r="F6" s="7">
        <v>0.59203099999999997</v>
      </c>
      <c r="G6" s="7">
        <v>3.2751000000000002E-2</v>
      </c>
      <c r="H6" s="7"/>
      <c r="I6" s="7">
        <v>0.13922200996</v>
      </c>
      <c r="J6" s="7">
        <v>7.7017251599999998E-3</v>
      </c>
      <c r="K6" s="7">
        <v>1182.9760000000001</v>
      </c>
      <c r="L6" s="7">
        <v>0.198786788573902</v>
      </c>
    </row>
    <row r="7" spans="1:12" x14ac:dyDescent="0.3">
      <c r="A7" s="11">
        <v>1995</v>
      </c>
      <c r="B7" s="14" t="s">
        <v>99</v>
      </c>
      <c r="C7" s="14" t="s">
        <v>100</v>
      </c>
      <c r="D7" s="7">
        <v>362.77</v>
      </c>
      <c r="E7" s="7"/>
      <c r="F7" s="7">
        <v>0.59585600000000005</v>
      </c>
      <c r="G7" s="7">
        <v>3.2961999999999998E-2</v>
      </c>
      <c r="H7" s="7"/>
      <c r="I7" s="7">
        <v>0.21615868112</v>
      </c>
      <c r="J7" s="7">
        <v>1.1957624740000001E-2</v>
      </c>
      <c r="K7" s="7">
        <v>1185.0319999999999</v>
      </c>
      <c r="L7" s="7">
        <v>0.30612675438300402</v>
      </c>
    </row>
    <row r="8" spans="1:12" x14ac:dyDescent="0.3">
      <c r="A8" s="11">
        <v>1996</v>
      </c>
      <c r="B8" s="14" t="s">
        <v>99</v>
      </c>
      <c r="C8" s="14" t="s">
        <v>100</v>
      </c>
      <c r="D8" s="7">
        <v>241.59</v>
      </c>
      <c r="E8" s="7"/>
      <c r="F8" s="7">
        <v>0.59789800000000004</v>
      </c>
      <c r="G8" s="7">
        <v>3.3075E-2</v>
      </c>
      <c r="H8" s="7"/>
      <c r="I8" s="7">
        <v>0.14444617781999999</v>
      </c>
      <c r="J8" s="7">
        <v>7.9905892499999992E-3</v>
      </c>
      <c r="K8" s="7">
        <v>1186.729</v>
      </c>
      <c r="L8" s="7">
        <v>0.20357638517302601</v>
      </c>
    </row>
    <row r="9" spans="1:12" x14ac:dyDescent="0.3">
      <c r="A9" s="11">
        <v>1997</v>
      </c>
      <c r="B9" s="14" t="s">
        <v>99</v>
      </c>
      <c r="C9" s="14" t="s">
        <v>100</v>
      </c>
      <c r="D9" s="7">
        <v>1362.51</v>
      </c>
      <c r="E9" s="7"/>
      <c r="F9" s="7">
        <v>0.60040000000000004</v>
      </c>
      <c r="G9" s="7">
        <v>3.3214E-2</v>
      </c>
      <c r="H9" s="7"/>
      <c r="I9" s="7">
        <v>0.81805100399999997</v>
      </c>
      <c r="J9" s="7">
        <v>4.5254407140000001E-2</v>
      </c>
      <c r="K9" s="7">
        <v>1188.5160000000001</v>
      </c>
      <c r="L9" s="7">
        <v>1.1463960098139201</v>
      </c>
    </row>
    <row r="10" spans="1:12" x14ac:dyDescent="0.3">
      <c r="A10" s="11">
        <v>1998</v>
      </c>
      <c r="B10" s="14" t="s">
        <v>99</v>
      </c>
      <c r="C10" s="14" t="s">
        <v>100</v>
      </c>
      <c r="D10" s="7">
        <v>198.14</v>
      </c>
      <c r="E10" s="7"/>
      <c r="F10" s="7">
        <v>0.60207299999999997</v>
      </c>
      <c r="G10" s="7">
        <v>3.3306000000000002E-2</v>
      </c>
      <c r="H10" s="7"/>
      <c r="I10" s="7">
        <v>0.11929474422</v>
      </c>
      <c r="J10" s="7">
        <v>6.5992508400000002E-3</v>
      </c>
      <c r="K10" s="7">
        <v>1189.884</v>
      </c>
      <c r="L10" s="7">
        <v>0.16652043392465099</v>
      </c>
    </row>
    <row r="11" spans="1:12" x14ac:dyDescent="0.3">
      <c r="A11" s="11">
        <v>1999</v>
      </c>
      <c r="B11" s="14" t="s">
        <v>99</v>
      </c>
      <c r="C11" s="14" t="s">
        <v>100</v>
      </c>
      <c r="D11" s="7">
        <v>11.2</v>
      </c>
      <c r="E11" s="7"/>
      <c r="F11" s="7">
        <v>0.60258199999999995</v>
      </c>
      <c r="G11" s="7">
        <v>3.3334000000000003E-2</v>
      </c>
      <c r="H11" s="7"/>
      <c r="I11" s="7">
        <v>6.7489183999999997E-3</v>
      </c>
      <c r="J11" s="7">
        <v>3.733408E-4</v>
      </c>
      <c r="K11" s="7">
        <v>1191.3589999999999</v>
      </c>
      <c r="L11" s="7">
        <v>9.4010285732512196E-3</v>
      </c>
    </row>
    <row r="12" spans="1:12" x14ac:dyDescent="0.3">
      <c r="A12" s="11">
        <v>2000</v>
      </c>
      <c r="B12" s="14" t="s">
        <v>99</v>
      </c>
      <c r="C12" s="14" t="s">
        <v>100</v>
      </c>
      <c r="D12" s="7">
        <v>57.55</v>
      </c>
      <c r="E12" s="7"/>
      <c r="F12" s="7">
        <v>0.59689199999999998</v>
      </c>
      <c r="G12" s="7">
        <v>3.3020000000000001E-2</v>
      </c>
      <c r="H12" s="7"/>
      <c r="I12" s="7">
        <v>3.43511346E-2</v>
      </c>
      <c r="J12" s="7">
        <v>1.9003010000000001E-3</v>
      </c>
      <c r="K12" s="7">
        <v>1192.644</v>
      </c>
      <c r="L12" s="7">
        <v>4.8254131157327698E-2</v>
      </c>
    </row>
    <row r="13" spans="1:12" x14ac:dyDescent="0.3">
      <c r="A13" s="11">
        <v>2001</v>
      </c>
      <c r="B13" s="14" t="s">
        <v>99</v>
      </c>
      <c r="C13" s="14" t="s">
        <v>100</v>
      </c>
      <c r="D13" s="7">
        <v>12.94</v>
      </c>
      <c r="E13" s="7"/>
      <c r="F13" s="7">
        <v>0.59659499999999999</v>
      </c>
      <c r="G13" s="7">
        <v>3.3002999999999998E-2</v>
      </c>
      <c r="H13" s="7"/>
      <c r="I13" s="7">
        <v>7.7199393E-3</v>
      </c>
      <c r="J13" s="7">
        <v>4.2705881999999999E-4</v>
      </c>
      <c r="K13" s="7">
        <v>1194.336</v>
      </c>
      <c r="L13" s="7">
        <v>1.0834472041368601E-2</v>
      </c>
    </row>
    <row r="14" spans="1:12" x14ac:dyDescent="0.3">
      <c r="A14" s="11">
        <v>2002</v>
      </c>
      <c r="B14" s="14" t="s">
        <v>99</v>
      </c>
      <c r="C14" s="14" t="s">
        <v>100</v>
      </c>
      <c r="D14" s="7">
        <v>419.22</v>
      </c>
      <c r="E14" s="7"/>
      <c r="F14" s="7">
        <v>0.597719</v>
      </c>
      <c r="G14" s="7">
        <v>3.3064999999999997E-2</v>
      </c>
      <c r="H14" s="7"/>
      <c r="I14" s="7">
        <v>0.25057575918000002</v>
      </c>
      <c r="J14" s="7">
        <v>1.38615093E-2</v>
      </c>
      <c r="K14" s="7">
        <v>1195.6590000000001</v>
      </c>
      <c r="L14" s="7">
        <v>0.35061836192426099</v>
      </c>
    </row>
    <row r="15" spans="1:12" x14ac:dyDescent="0.3">
      <c r="A15" s="11">
        <v>2003</v>
      </c>
      <c r="B15" s="14" t="s">
        <v>99</v>
      </c>
      <c r="C15" s="14" t="s">
        <v>100</v>
      </c>
      <c r="D15" s="7">
        <v>527.63099999999997</v>
      </c>
      <c r="E15" s="7"/>
      <c r="F15" s="7">
        <v>0.59844799999999998</v>
      </c>
      <c r="G15" s="7">
        <v>3.3105999999999997E-2</v>
      </c>
      <c r="H15" s="7"/>
      <c r="I15" s="7">
        <v>0.31575971668800001</v>
      </c>
      <c r="J15" s="7">
        <v>1.7467751885999999E-2</v>
      </c>
      <c r="K15" s="7">
        <v>1197.2560000000001</v>
      </c>
      <c r="L15" s="7">
        <v>0.44070023453630602</v>
      </c>
    </row>
    <row r="16" spans="1:12" x14ac:dyDescent="0.3">
      <c r="A16" s="11">
        <v>2004</v>
      </c>
      <c r="B16" s="14" t="s">
        <v>99</v>
      </c>
      <c r="C16" s="14" t="s">
        <v>100</v>
      </c>
      <c r="D16" s="7">
        <v>24.54</v>
      </c>
      <c r="E16" s="7"/>
      <c r="F16" s="7">
        <v>0.60023499999999996</v>
      </c>
      <c r="G16" s="7">
        <v>3.3204999999999998E-2</v>
      </c>
      <c r="H16" s="7"/>
      <c r="I16" s="7">
        <v>1.47297669E-2</v>
      </c>
      <c r="J16" s="7">
        <v>8.1485070000000001E-4</v>
      </c>
      <c r="K16" s="7">
        <v>1198.6969999999999</v>
      </c>
      <c r="L16" s="7">
        <v>2.0472229429121799E-2</v>
      </c>
    </row>
    <row r="17" spans="1:12" x14ac:dyDescent="0.3">
      <c r="A17" s="11">
        <v>2005</v>
      </c>
      <c r="B17" s="14" t="s">
        <v>99</v>
      </c>
      <c r="C17" s="14" t="s">
        <v>100</v>
      </c>
      <c r="D17" s="7">
        <v>41.15</v>
      </c>
      <c r="E17" s="7"/>
      <c r="F17" s="7">
        <v>0.60165199999999996</v>
      </c>
      <c r="G17" s="7">
        <v>3.3283E-2</v>
      </c>
      <c r="H17" s="7"/>
      <c r="I17" s="7">
        <v>2.47579798E-2</v>
      </c>
      <c r="J17" s="7">
        <v>1.3695954500000001E-3</v>
      </c>
      <c r="K17" s="7">
        <v>1200.1320000000001</v>
      </c>
      <c r="L17" s="7">
        <v>3.4287894998216897E-2</v>
      </c>
    </row>
    <row r="18" spans="1:12" x14ac:dyDescent="0.3">
      <c r="A18" s="11">
        <v>2006</v>
      </c>
      <c r="B18" s="14" t="s">
        <v>99</v>
      </c>
      <c r="C18" s="14" t="s">
        <v>100</v>
      </c>
      <c r="D18" s="7">
        <v>112.17</v>
      </c>
      <c r="E18" s="7"/>
      <c r="F18" s="7">
        <v>0.59665400000000002</v>
      </c>
      <c r="G18" s="7">
        <v>3.3006000000000001E-2</v>
      </c>
      <c r="H18" s="7"/>
      <c r="I18" s="7">
        <v>6.6926679180000004E-2</v>
      </c>
      <c r="J18" s="7">
        <v>3.7022830200000001E-3</v>
      </c>
      <c r="K18" s="7">
        <v>1201.4680000000001</v>
      </c>
      <c r="L18" s="7">
        <v>9.3360788635236197E-2</v>
      </c>
    </row>
    <row r="19" spans="1:12" x14ac:dyDescent="0.3">
      <c r="A19" s="11">
        <v>2007</v>
      </c>
      <c r="B19" s="14" t="s">
        <v>99</v>
      </c>
      <c r="C19" s="14" t="s">
        <v>100</v>
      </c>
      <c r="D19" s="7">
        <v>238.31</v>
      </c>
      <c r="E19" s="7"/>
      <c r="F19" s="7">
        <v>0.59697299999999998</v>
      </c>
      <c r="G19" s="7">
        <v>3.3023999999999998E-2</v>
      </c>
      <c r="H19" s="7"/>
      <c r="I19" s="7">
        <v>0.14226463563</v>
      </c>
      <c r="J19" s="7">
        <v>7.8699494399999993E-3</v>
      </c>
      <c r="K19" s="7">
        <v>1202.9559999999999</v>
      </c>
      <c r="L19" s="7">
        <v>0.198103671289723</v>
      </c>
    </row>
    <row r="20" spans="1:12" x14ac:dyDescent="0.3">
      <c r="A20" s="11">
        <v>2008</v>
      </c>
      <c r="B20" s="14" t="s">
        <v>99</v>
      </c>
      <c r="C20" s="14" t="s">
        <v>100</v>
      </c>
      <c r="D20" s="7">
        <v>38.520000000000003</v>
      </c>
      <c r="E20" s="7"/>
      <c r="F20" s="7">
        <v>0.598383</v>
      </c>
      <c r="G20" s="7">
        <v>3.3101999999999999E-2</v>
      </c>
      <c r="H20" s="7"/>
      <c r="I20" s="7">
        <v>2.3049713159999999E-2</v>
      </c>
      <c r="J20" s="7">
        <v>1.2750890399999999E-3</v>
      </c>
      <c r="K20" s="7">
        <v>1204.6869999999999</v>
      </c>
      <c r="L20" s="7">
        <v>3.1975110547386998E-2</v>
      </c>
    </row>
    <row r="21" spans="1:12" x14ac:dyDescent="0.3">
      <c r="A21" s="11">
        <v>2009</v>
      </c>
      <c r="B21" s="14" t="s">
        <v>99</v>
      </c>
      <c r="C21" s="14" t="s">
        <v>100</v>
      </c>
      <c r="D21" s="7">
        <v>51.33</v>
      </c>
      <c r="E21" s="7"/>
      <c r="F21" s="7">
        <v>0.59983399999999998</v>
      </c>
      <c r="G21" s="7">
        <v>3.3182000000000003E-2</v>
      </c>
      <c r="H21" s="7"/>
      <c r="I21" s="7">
        <v>3.0789479219999999E-2</v>
      </c>
      <c r="J21" s="7">
        <v>1.70323206E-3</v>
      </c>
      <c r="K21" s="7">
        <v>1206.48</v>
      </c>
      <c r="L21" s="7">
        <v>4.2545255619653902E-2</v>
      </c>
    </row>
    <row r="22" spans="1:12" x14ac:dyDescent="0.3">
      <c r="A22" s="11">
        <v>2010</v>
      </c>
      <c r="B22" s="14" t="s">
        <v>99</v>
      </c>
      <c r="C22" s="14" t="s">
        <v>100</v>
      </c>
      <c r="D22" s="7">
        <v>28.9</v>
      </c>
      <c r="E22" s="7"/>
      <c r="F22" s="7">
        <v>0.602329</v>
      </c>
      <c r="G22" s="7">
        <v>3.3320000000000002E-2</v>
      </c>
      <c r="H22" s="7"/>
      <c r="I22" s="7">
        <v>1.7407308100000001E-2</v>
      </c>
      <c r="J22" s="7">
        <v>9.6294800000000004E-4</v>
      </c>
      <c r="K22" s="7">
        <v>1208.222</v>
      </c>
      <c r="L22" s="7">
        <v>2.3919445267508801E-2</v>
      </c>
    </row>
    <row r="23" spans="1:12" x14ac:dyDescent="0.3">
      <c r="A23" s="11">
        <v>2011</v>
      </c>
      <c r="B23" s="14" t="s">
        <v>99</v>
      </c>
      <c r="C23" s="14" t="s">
        <v>100</v>
      </c>
      <c r="D23" s="7">
        <v>159.30000000000001</v>
      </c>
      <c r="E23" s="7"/>
      <c r="F23" s="7">
        <v>0.60319800000000001</v>
      </c>
      <c r="G23" s="7">
        <v>3.3368000000000002E-2</v>
      </c>
      <c r="H23" s="7"/>
      <c r="I23" s="7">
        <v>9.6089441400000003E-2</v>
      </c>
      <c r="J23" s="7">
        <v>5.3155223999999997E-3</v>
      </c>
      <c r="K23" s="7">
        <v>1209.924</v>
      </c>
      <c r="L23" s="7">
        <v>0.131661162188699</v>
      </c>
    </row>
    <row r="24" spans="1:12" x14ac:dyDescent="0.3">
      <c r="A24" s="11">
        <v>2012</v>
      </c>
      <c r="B24" s="14" t="s">
        <v>99</v>
      </c>
      <c r="C24" s="14" t="s">
        <v>100</v>
      </c>
      <c r="D24" s="7">
        <v>25.87</v>
      </c>
      <c r="E24" s="7"/>
      <c r="F24" s="7">
        <v>0.60427799999999998</v>
      </c>
      <c r="G24" s="7">
        <v>3.3427999999999999E-2</v>
      </c>
      <c r="H24" s="7"/>
      <c r="I24" s="7">
        <v>1.5632671859999999E-2</v>
      </c>
      <c r="J24" s="7">
        <v>8.6478236E-4</v>
      </c>
      <c r="K24" s="7">
        <v>1211.8389999999999</v>
      </c>
      <c r="L24" s="7">
        <v>2.1347720282974901E-2</v>
      </c>
    </row>
    <row r="25" spans="1:12" x14ac:dyDescent="0.3">
      <c r="A25" s="11">
        <v>2013</v>
      </c>
      <c r="B25" s="14" t="s">
        <v>99</v>
      </c>
      <c r="C25" s="14" t="s">
        <v>100</v>
      </c>
      <c r="D25" s="7">
        <v>24.22</v>
      </c>
      <c r="E25" s="7"/>
      <c r="F25" s="7">
        <v>0.60631299999999999</v>
      </c>
      <c r="G25" s="7">
        <v>3.3541000000000001E-2</v>
      </c>
      <c r="H25" s="7"/>
      <c r="I25" s="7">
        <v>1.4684900860000001E-2</v>
      </c>
      <c r="J25" s="7">
        <v>8.1236302E-4</v>
      </c>
      <c r="K25" s="7">
        <v>1213.595</v>
      </c>
      <c r="L25" s="7">
        <v>1.9957234497505302E-2</v>
      </c>
    </row>
    <row r="26" spans="1:12" x14ac:dyDescent="0.3">
      <c r="A26" s="11">
        <v>2014</v>
      </c>
      <c r="B26" s="14" t="s">
        <v>99</v>
      </c>
      <c r="C26" s="14" t="s">
        <v>100</v>
      </c>
      <c r="D26" s="7">
        <v>43.23</v>
      </c>
      <c r="E26" s="7"/>
      <c r="F26" s="7">
        <v>0.605603</v>
      </c>
      <c r="G26" s="7">
        <v>3.3501000000000003E-2</v>
      </c>
      <c r="H26" s="7"/>
      <c r="I26" s="7">
        <v>2.618021769E-2</v>
      </c>
      <c r="J26" s="7">
        <v>1.44824823E-3</v>
      </c>
      <c r="K26" s="7">
        <v>1215.3800000000001</v>
      </c>
      <c r="L26" s="7">
        <v>3.55691224143889E-2</v>
      </c>
    </row>
    <row r="27" spans="1:12" x14ac:dyDescent="0.3">
      <c r="A27" s="11">
        <v>2015</v>
      </c>
      <c r="B27" s="14" t="s">
        <v>99</v>
      </c>
      <c r="C27" s="14" t="s">
        <v>100</v>
      </c>
      <c r="D27" s="7">
        <v>45.280999999999999</v>
      </c>
      <c r="E27" s="7"/>
      <c r="F27" s="7">
        <v>0.60549900000000001</v>
      </c>
      <c r="G27" s="7">
        <v>3.3495999999999998E-2</v>
      </c>
      <c r="H27" s="7"/>
      <c r="I27" s="7">
        <v>2.7417600218999999E-2</v>
      </c>
      <c r="J27" s="7">
        <v>1.516732376E-3</v>
      </c>
      <c r="K27" s="7">
        <v>1217.432</v>
      </c>
      <c r="L27" s="7">
        <v>3.7193863805124197E-2</v>
      </c>
    </row>
    <row r="28" spans="1:12" x14ac:dyDescent="0.3">
      <c r="A28" s="11">
        <v>2016</v>
      </c>
      <c r="B28" s="14" t="s">
        <v>99</v>
      </c>
      <c r="C28" s="14" t="s">
        <v>100</v>
      </c>
      <c r="D28" s="7">
        <v>255.78</v>
      </c>
      <c r="E28" s="7"/>
      <c r="F28" s="7">
        <v>0.60578799999999999</v>
      </c>
      <c r="G28" s="7">
        <v>3.3512E-2</v>
      </c>
      <c r="H28" s="7"/>
      <c r="I28" s="7">
        <v>0.15494845464000001</v>
      </c>
      <c r="J28" s="7">
        <v>8.5716993600000006E-3</v>
      </c>
      <c r="K28" s="7">
        <v>1219.4690000000001</v>
      </c>
      <c r="L28" s="7">
        <v>0.20974702923977601</v>
      </c>
    </row>
    <row r="29" spans="1:12" x14ac:dyDescent="0.3">
      <c r="A29" s="11">
        <v>2017</v>
      </c>
      <c r="B29" s="14" t="s">
        <v>99</v>
      </c>
      <c r="C29" s="14" t="s">
        <v>100</v>
      </c>
      <c r="D29" s="7">
        <v>109.64</v>
      </c>
      <c r="E29" s="7"/>
      <c r="F29" s="7">
        <v>0.60555800000000004</v>
      </c>
      <c r="G29" s="7">
        <v>3.3499000000000001E-2</v>
      </c>
      <c r="H29" s="7"/>
      <c r="I29" s="7">
        <v>6.6393379119999998E-2</v>
      </c>
      <c r="J29" s="7">
        <v>3.6728303600000001E-3</v>
      </c>
      <c r="K29" s="7">
        <v>1221.3720000000001</v>
      </c>
      <c r="L29" s="7">
        <v>8.9767900361233097E-2</v>
      </c>
    </row>
    <row r="30" spans="1:12" x14ac:dyDescent="0.3">
      <c r="A30" s="11">
        <v>2018</v>
      </c>
      <c r="B30" s="14" t="s">
        <v>99</v>
      </c>
      <c r="C30" s="14" t="s">
        <v>100</v>
      </c>
      <c r="D30" s="7">
        <v>58.362000000000002</v>
      </c>
      <c r="E30" s="7"/>
      <c r="F30" s="7">
        <v>0.60132699999999994</v>
      </c>
      <c r="G30" s="7">
        <v>3.3265000000000003E-2</v>
      </c>
      <c r="H30" s="7"/>
      <c r="I30" s="7">
        <v>3.5094646373999998E-2</v>
      </c>
      <c r="J30" s="7">
        <v>1.9414119300000001E-3</v>
      </c>
      <c r="K30" s="7">
        <v>1223.1389999999999</v>
      </c>
      <c r="L30" s="7">
        <v>4.7714936732456401E-2</v>
      </c>
    </row>
    <row r="31" spans="1:12" x14ac:dyDescent="0.3">
      <c r="A31" s="11">
        <v>2019</v>
      </c>
      <c r="B31" s="14" t="s">
        <v>99</v>
      </c>
      <c r="C31" s="14" t="s">
        <v>100</v>
      </c>
      <c r="D31" s="7">
        <v>16.545100000000001</v>
      </c>
      <c r="E31" s="7"/>
      <c r="F31" s="7">
        <v>0.60028099999999995</v>
      </c>
      <c r="G31" s="7">
        <v>3.3207E-2</v>
      </c>
      <c r="H31" s="7"/>
      <c r="I31" s="7">
        <v>9.9317091731E-3</v>
      </c>
      <c r="J31" s="7">
        <v>5.4941313569999996E-4</v>
      </c>
      <c r="K31" s="7">
        <v>1224.9459999999999</v>
      </c>
      <c r="L31" s="7">
        <v>1.35067994834058E-2</v>
      </c>
    </row>
    <row r="32" spans="1:12" x14ac:dyDescent="0.3">
      <c r="A32" s="11">
        <v>2020</v>
      </c>
      <c r="B32" s="14" t="s">
        <v>99</v>
      </c>
      <c r="C32" s="14" t="s">
        <v>100</v>
      </c>
      <c r="D32" s="7">
        <v>15.19</v>
      </c>
      <c r="E32" s="7"/>
      <c r="F32" s="7">
        <v>0.59924500000000003</v>
      </c>
      <c r="G32" s="7">
        <v>3.3149999999999999E-2</v>
      </c>
      <c r="H32" s="7"/>
      <c r="I32" s="7">
        <v>9.1025315499999992E-3</v>
      </c>
      <c r="J32" s="7">
        <v>5.0354849999999999E-4</v>
      </c>
      <c r="K32" s="7">
        <v>1226.2940000000001</v>
      </c>
      <c r="L32" s="7">
        <v>1.23869153726594E-2</v>
      </c>
    </row>
    <row r="33" spans="1:12" x14ac:dyDescent="0.3">
      <c r="A33" s="11">
        <v>2021</v>
      </c>
      <c r="B33" s="14" t="s">
        <v>99</v>
      </c>
      <c r="C33" s="14" t="s">
        <v>100</v>
      </c>
      <c r="D33" s="7">
        <v>26.56</v>
      </c>
      <c r="E33" s="7"/>
      <c r="F33" s="7">
        <v>0.59851100000000002</v>
      </c>
      <c r="G33" s="7">
        <v>3.3109E-2</v>
      </c>
      <c r="H33" s="7"/>
      <c r="I33" s="7">
        <v>1.5896452160000001E-2</v>
      </c>
      <c r="J33" s="7">
        <v>8.7937504000000001E-4</v>
      </c>
      <c r="K33" s="7">
        <v>1227.6420000000001</v>
      </c>
      <c r="L33" s="7">
        <v>2.1634971758867801E-2</v>
      </c>
    </row>
    <row r="34" spans="1:12" x14ac:dyDescent="0.3">
      <c r="A34" s="11">
        <v>2022</v>
      </c>
      <c r="B34" s="14" t="s">
        <v>99</v>
      </c>
      <c r="C34" s="14" t="s">
        <v>100</v>
      </c>
      <c r="D34" s="7">
        <v>273.99</v>
      </c>
      <c r="E34" s="7"/>
      <c r="F34" s="7">
        <v>0.59824500000000003</v>
      </c>
      <c r="G34" s="7">
        <v>3.3093999999999998E-2</v>
      </c>
      <c r="H34" s="7"/>
      <c r="I34" s="7">
        <v>0.16391314755</v>
      </c>
      <c r="J34" s="7">
        <v>9.0674250600000002E-3</v>
      </c>
      <c r="K34" s="7">
        <v>1228.98</v>
      </c>
      <c r="L34" s="7">
        <v>0.22294097544305</v>
      </c>
    </row>
    <row r="35" spans="1:12" x14ac:dyDescent="0.3">
      <c r="A35" s="11">
        <v>2023</v>
      </c>
      <c r="B35" s="14" t="s">
        <v>99</v>
      </c>
      <c r="C35" s="14" t="s">
        <v>100</v>
      </c>
      <c r="D35" s="7">
        <v>81.05</v>
      </c>
      <c r="E35" s="7"/>
      <c r="F35" s="7">
        <v>0.59758500000000003</v>
      </c>
      <c r="G35" s="7">
        <v>3.3057999999999997E-2</v>
      </c>
      <c r="H35" s="7"/>
      <c r="I35" s="7">
        <v>4.8434264249999998E-2</v>
      </c>
      <c r="J35" s="7">
        <v>2.6793508999999999E-3</v>
      </c>
      <c r="K35" s="7">
        <v>1230.3219999999999</v>
      </c>
      <c r="L35" s="7">
        <v>6.5877063077795894E-2</v>
      </c>
    </row>
    <row r="36" spans="1:12" x14ac:dyDescent="0.3">
      <c r="A36" s="12">
        <v>2024</v>
      </c>
      <c r="B36" s="5" t="s">
        <v>99</v>
      </c>
      <c r="C36" s="5" t="s">
        <v>100</v>
      </c>
      <c r="D36" s="8">
        <v>31.77</v>
      </c>
      <c r="E36" s="8"/>
      <c r="F36" s="8">
        <v>0.59802200000000005</v>
      </c>
      <c r="G36" s="8">
        <v>3.3082E-2</v>
      </c>
      <c r="H36" s="8"/>
      <c r="I36" s="8">
        <v>1.899915894E-2</v>
      </c>
      <c r="J36" s="8">
        <v>1.0510151400000001E-3</v>
      </c>
      <c r="K36" s="8">
        <v>1231.6559999999999</v>
      </c>
      <c r="L36" s="8">
        <v>2.5794540033905598E-2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.77734375" customWidth="1"/>
    <col min="2" max="2" width="10.109375" customWidth="1"/>
    <col min="3" max="3" width="4.109375" customWidth="1"/>
    <col min="4" max="4" width="5.88671875" customWidth="1"/>
    <col min="5" max="10" width="11.77734375" customWidth="1"/>
    <col min="11" max="11" width="10.77734375" customWidth="1"/>
    <col min="12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/>
      <c r="C2" s="13"/>
      <c r="D2" s="6">
        <v>168</v>
      </c>
      <c r="E2" s="6">
        <v>95.450849890524907</v>
      </c>
      <c r="F2" s="6">
        <v>0.28592670139291698</v>
      </c>
      <c r="G2" s="6">
        <v>1.5817221779166699E-2</v>
      </c>
      <c r="H2" s="6">
        <v>16.035742781608199</v>
      </c>
      <c r="I2" s="6">
        <v>4.8035685834010002E-2</v>
      </c>
      <c r="J2" s="6">
        <v>2.6572932589000002E-3</v>
      </c>
      <c r="K2" s="6">
        <v>2629.4830000000002</v>
      </c>
      <c r="L2" s="6">
        <v>6.3890886535489994E-2</v>
      </c>
    </row>
    <row r="3" spans="1:12" x14ac:dyDescent="0.3">
      <c r="A3" s="11">
        <v>1991</v>
      </c>
      <c r="B3" s="14"/>
      <c r="C3" s="14"/>
      <c r="D3" s="7">
        <v>76</v>
      </c>
      <c r="E3" s="7">
        <v>96.198091756842999</v>
      </c>
      <c r="F3" s="7">
        <v>0.28816509321684203</v>
      </c>
      <c r="G3" s="7">
        <v>1.59410477098684E-2</v>
      </c>
      <c r="H3" s="7">
        <v>7.3110549735200703</v>
      </c>
      <c r="I3" s="7">
        <v>2.1900547084479999E-2</v>
      </c>
      <c r="J3" s="7">
        <v>1.21151962595E-3</v>
      </c>
      <c r="K3" s="7">
        <v>2629.2950000000001</v>
      </c>
      <c r="L3" s="7">
        <v>2.8905086724768402E-2</v>
      </c>
    </row>
    <row r="4" spans="1:12" x14ac:dyDescent="0.3">
      <c r="A4" s="11">
        <v>1992</v>
      </c>
      <c r="B4" s="14"/>
      <c r="C4" s="14"/>
      <c r="D4" s="7">
        <v>1278</v>
      </c>
      <c r="E4" s="7">
        <v>97.288299290786</v>
      </c>
      <c r="F4" s="7">
        <v>0.29143085192268398</v>
      </c>
      <c r="G4" s="7">
        <v>1.6121706702104902E-2</v>
      </c>
      <c r="H4" s="7">
        <v>124.334446493624</v>
      </c>
      <c r="I4" s="7">
        <v>0.37244862875718998</v>
      </c>
      <c r="J4" s="7">
        <v>2.060354116529E-2</v>
      </c>
      <c r="K4" s="7">
        <v>2629.0749999999998</v>
      </c>
      <c r="L4" s="7">
        <v>0.48610252655401598</v>
      </c>
    </row>
    <row r="5" spans="1:12" x14ac:dyDescent="0.3">
      <c r="A5" s="11">
        <v>1993</v>
      </c>
      <c r="B5" s="14"/>
      <c r="C5" s="14"/>
      <c r="D5" s="7">
        <v>1151</v>
      </c>
      <c r="E5" s="7">
        <v>98.568003215212499</v>
      </c>
      <c r="F5" s="7">
        <v>0.295264254373163</v>
      </c>
      <c r="G5" s="7">
        <v>1.6333767263197199E-2</v>
      </c>
      <c r="H5" s="7">
        <v>113.45177170071</v>
      </c>
      <c r="I5" s="7">
        <v>0.33984915678351002</v>
      </c>
      <c r="J5" s="7">
        <v>1.8800166119939999E-2</v>
      </c>
      <c r="K5" s="7">
        <v>2628.62887</v>
      </c>
      <c r="L5" s="7">
        <v>0.43787086611431802</v>
      </c>
    </row>
    <row r="6" spans="1:12" x14ac:dyDescent="0.3">
      <c r="A6" s="11">
        <v>1994</v>
      </c>
      <c r="B6" s="14"/>
      <c r="C6" s="14"/>
      <c r="D6" s="7">
        <v>818</v>
      </c>
      <c r="E6" s="7">
        <v>99.712338684066594</v>
      </c>
      <c r="F6" s="7">
        <v>0.29869215539523197</v>
      </c>
      <c r="G6" s="7">
        <v>1.6523395830379001E-2</v>
      </c>
      <c r="H6" s="7">
        <v>81.564693043566507</v>
      </c>
      <c r="I6" s="7">
        <v>0.24433018311329999</v>
      </c>
      <c r="J6" s="7">
        <v>1.351613778925E-2</v>
      </c>
      <c r="K6" s="7">
        <v>2629.5014999999999</v>
      </c>
      <c r="L6" s="7">
        <v>0.311085580289648</v>
      </c>
    </row>
    <row r="7" spans="1:12" x14ac:dyDescent="0.3">
      <c r="A7" s="11">
        <v>1995</v>
      </c>
      <c r="B7" s="14"/>
      <c r="C7" s="14"/>
      <c r="D7" s="7">
        <v>403</v>
      </c>
      <c r="E7" s="7">
        <v>100.784280523364</v>
      </c>
      <c r="F7" s="7">
        <v>0.30190319850848601</v>
      </c>
      <c r="G7" s="7">
        <v>1.6701028002605499E-2</v>
      </c>
      <c r="H7" s="7">
        <v>40.616065050915601</v>
      </c>
      <c r="I7" s="7">
        <v>0.12166698899892001</v>
      </c>
      <c r="J7" s="7">
        <v>6.73051428505E-3</v>
      </c>
      <c r="K7" s="7">
        <v>2630.12824</v>
      </c>
      <c r="L7" s="7">
        <v>0.153224467868533</v>
      </c>
    </row>
    <row r="8" spans="1:12" x14ac:dyDescent="0.3">
      <c r="A8" s="11">
        <v>1996</v>
      </c>
      <c r="B8" s="14"/>
      <c r="C8" s="14"/>
      <c r="D8" s="7">
        <v>2043</v>
      </c>
      <c r="E8" s="7">
        <v>101.853333933293</v>
      </c>
      <c r="F8" s="7">
        <v>0.30510558922019099</v>
      </c>
      <c r="G8" s="7">
        <v>1.6878181531331402E-2</v>
      </c>
      <c r="H8" s="7">
        <v>208.086361225719</v>
      </c>
      <c r="I8" s="7">
        <v>0.62333071877684998</v>
      </c>
      <c r="J8" s="7">
        <v>3.4482124868510003E-2</v>
      </c>
      <c r="K8" s="7">
        <v>2630.9928300000001</v>
      </c>
      <c r="L8" s="7">
        <v>0.77651294853585695</v>
      </c>
    </row>
    <row r="9" spans="1:12" x14ac:dyDescent="0.3">
      <c r="A9" s="11">
        <v>1997</v>
      </c>
      <c r="B9" s="14"/>
      <c r="C9" s="14"/>
      <c r="D9" s="7">
        <v>3475</v>
      </c>
      <c r="E9" s="7">
        <v>103.11938581386001</v>
      </c>
      <c r="F9" s="7">
        <v>0.30889809644687199</v>
      </c>
      <c r="G9" s="7">
        <v>1.7087979803444599E-2</v>
      </c>
      <c r="H9" s="7">
        <v>358.33986570316398</v>
      </c>
      <c r="I9" s="7">
        <v>1.0734208851528799</v>
      </c>
      <c r="J9" s="7">
        <v>5.9380729816969999E-2</v>
      </c>
      <c r="K9" s="7">
        <v>2631.8035399999999</v>
      </c>
      <c r="L9" s="7">
        <v>1.32038731128084</v>
      </c>
    </row>
    <row r="10" spans="1:12" x14ac:dyDescent="0.3">
      <c r="A10" s="11">
        <v>1998</v>
      </c>
      <c r="B10" s="14"/>
      <c r="C10" s="14"/>
      <c r="D10" s="7">
        <v>1162</v>
      </c>
      <c r="E10" s="7">
        <v>104.907825809305</v>
      </c>
      <c r="F10" s="7">
        <v>0.31425543741474199</v>
      </c>
      <c r="G10" s="7">
        <v>1.7384343346351101E-2</v>
      </c>
      <c r="H10" s="7">
        <v>121.90289359041201</v>
      </c>
      <c r="I10" s="7">
        <v>0.36516481827593</v>
      </c>
      <c r="J10" s="7">
        <v>2.0200606968459999E-2</v>
      </c>
      <c r="K10" s="7">
        <v>2633.8189699999998</v>
      </c>
      <c r="L10" s="7">
        <v>0.441184459993467</v>
      </c>
    </row>
    <row r="11" spans="1:12" x14ac:dyDescent="0.3">
      <c r="A11" s="11">
        <v>1999</v>
      </c>
      <c r="B11" s="14"/>
      <c r="C11" s="14"/>
      <c r="D11" s="7">
        <v>336</v>
      </c>
      <c r="E11" s="7">
        <v>106.35818548944199</v>
      </c>
      <c r="F11" s="7">
        <v>0.31860004576187501</v>
      </c>
      <c r="G11" s="7">
        <v>1.76246833825595E-2</v>
      </c>
      <c r="H11" s="7">
        <v>35.736350324452502</v>
      </c>
      <c r="I11" s="7">
        <v>0.10704961537599</v>
      </c>
      <c r="J11" s="7">
        <v>5.9218936165399997E-3</v>
      </c>
      <c r="K11" s="7">
        <v>2634.4716899999999</v>
      </c>
      <c r="L11" s="7">
        <v>0.12753980286650901</v>
      </c>
    </row>
    <row r="12" spans="1:12" x14ac:dyDescent="0.3">
      <c r="A12" s="11">
        <v>2000</v>
      </c>
      <c r="B12" s="14"/>
      <c r="C12" s="14"/>
      <c r="D12" s="7">
        <v>375</v>
      </c>
      <c r="E12" s="7">
        <v>107.34554274969599</v>
      </c>
      <c r="F12" s="7">
        <v>0.321557712507067</v>
      </c>
      <c r="G12" s="7">
        <v>1.7788298989760001E-2</v>
      </c>
      <c r="H12" s="7">
        <v>40.254578531136197</v>
      </c>
      <c r="I12" s="7">
        <v>0.12058414219015</v>
      </c>
      <c r="J12" s="7">
        <v>6.6706121211599998E-3</v>
      </c>
      <c r="K12" s="7">
        <v>2637.2896900000001</v>
      </c>
      <c r="L12" s="7">
        <v>0.142191432902466</v>
      </c>
    </row>
    <row r="13" spans="1:12" x14ac:dyDescent="0.3">
      <c r="A13" s="11">
        <v>2001</v>
      </c>
      <c r="B13" s="14"/>
      <c r="C13" s="14"/>
      <c r="D13" s="7">
        <v>87</v>
      </c>
      <c r="E13" s="7">
        <v>108.497219753199</v>
      </c>
      <c r="F13" s="7">
        <v>0.32500760537919499</v>
      </c>
      <c r="G13" s="7">
        <v>1.7979144127356302E-2</v>
      </c>
      <c r="H13" s="7">
        <v>9.4392581185283309</v>
      </c>
      <c r="I13" s="7">
        <v>2.8275661667990001E-2</v>
      </c>
      <c r="J13" s="7">
        <v>1.5641855390800001E-3</v>
      </c>
      <c r="K13" s="7">
        <v>2639.1597099999999</v>
      </c>
      <c r="L13" s="7">
        <v>3.2965037951416698E-2</v>
      </c>
    </row>
    <row r="14" spans="1:12" x14ac:dyDescent="0.3">
      <c r="A14" s="11">
        <v>2002</v>
      </c>
      <c r="B14" s="14"/>
      <c r="C14" s="14"/>
      <c r="D14" s="7">
        <v>179</v>
      </c>
      <c r="E14" s="7">
        <v>109.521985081393</v>
      </c>
      <c r="F14" s="7">
        <v>0.32807732943435802</v>
      </c>
      <c r="G14" s="7">
        <v>1.8148958649553099E-2</v>
      </c>
      <c r="H14" s="7">
        <v>19.604435329569402</v>
      </c>
      <c r="I14" s="7">
        <v>5.8725841968749998E-2</v>
      </c>
      <c r="J14" s="7">
        <v>3.2486635982700001E-3</v>
      </c>
      <c r="K14" s="7">
        <v>2643.0565999999999</v>
      </c>
      <c r="L14" s="7">
        <v>6.7724618534465E-2</v>
      </c>
    </row>
    <row r="15" spans="1:12" x14ac:dyDescent="0.3">
      <c r="A15" s="11">
        <v>2003</v>
      </c>
      <c r="B15" s="14"/>
      <c r="C15" s="14"/>
      <c r="D15" s="7">
        <v>1235</v>
      </c>
      <c r="E15" s="7">
        <v>110.236687192074</v>
      </c>
      <c r="F15" s="7">
        <v>0.33021824716554699</v>
      </c>
      <c r="G15" s="7">
        <v>1.82673923963887E-2</v>
      </c>
      <c r="H15" s="7">
        <v>136.14230868221199</v>
      </c>
      <c r="I15" s="7">
        <v>0.40781953524945003</v>
      </c>
      <c r="J15" s="7">
        <v>2.2560229609539999E-2</v>
      </c>
      <c r="K15" s="7">
        <v>2644.17002</v>
      </c>
      <c r="L15" s="7">
        <v>0.46706527593108399</v>
      </c>
    </row>
    <row r="16" spans="1:12" x14ac:dyDescent="0.3">
      <c r="A16" s="11">
        <v>2004</v>
      </c>
      <c r="B16" s="14"/>
      <c r="C16" s="14"/>
      <c r="D16" s="7">
        <v>334</v>
      </c>
      <c r="E16" s="7">
        <v>111.41327606054401</v>
      </c>
      <c r="F16" s="7">
        <v>0.33374276448985002</v>
      </c>
      <c r="G16" s="7">
        <v>1.8462365695179599E-2</v>
      </c>
      <c r="H16" s="7">
        <v>37.212034204221702</v>
      </c>
      <c r="I16" s="7">
        <v>0.11147008333961</v>
      </c>
      <c r="J16" s="7">
        <v>6.1664301421899999E-3</v>
      </c>
      <c r="K16" s="7">
        <v>2645.7401399999999</v>
      </c>
      <c r="L16" s="7">
        <v>0.1262406670067</v>
      </c>
    </row>
    <row r="17" spans="1:12" x14ac:dyDescent="0.3">
      <c r="A17" s="11">
        <v>2005</v>
      </c>
      <c r="B17" s="14"/>
      <c r="C17" s="14"/>
      <c r="D17" s="7">
        <v>226</v>
      </c>
      <c r="E17" s="7">
        <v>112.351362208224</v>
      </c>
      <c r="F17" s="7">
        <v>0.33655283771743399</v>
      </c>
      <c r="G17" s="7">
        <v>1.8617816554601801E-2</v>
      </c>
      <c r="H17" s="7">
        <v>25.391407859058599</v>
      </c>
      <c r="I17" s="7">
        <v>7.606094132414E-2</v>
      </c>
      <c r="J17" s="7">
        <v>4.2076265413399996E-3</v>
      </c>
      <c r="K17" s="7">
        <v>2647.4182700000001</v>
      </c>
      <c r="L17" s="7">
        <v>8.53661858275232E-2</v>
      </c>
    </row>
    <row r="18" spans="1:12" x14ac:dyDescent="0.3">
      <c r="A18" s="11">
        <v>2006</v>
      </c>
      <c r="B18" s="14"/>
      <c r="C18" s="14"/>
      <c r="D18" s="7">
        <v>405</v>
      </c>
      <c r="E18" s="7">
        <v>113.068543836019</v>
      </c>
      <c r="F18" s="7">
        <v>0.338701182937728</v>
      </c>
      <c r="G18" s="7">
        <v>1.87366611837778E-2</v>
      </c>
      <c r="H18" s="7">
        <v>45.792760253587602</v>
      </c>
      <c r="I18" s="7">
        <v>0.13717397908977999</v>
      </c>
      <c r="J18" s="7">
        <v>7.5883477794300002E-3</v>
      </c>
      <c r="K18" s="7">
        <v>2649.1493500000001</v>
      </c>
      <c r="L18" s="7">
        <v>0.15287926292264301</v>
      </c>
    </row>
    <row r="19" spans="1:12" x14ac:dyDescent="0.3">
      <c r="A19" s="11">
        <v>2007</v>
      </c>
      <c r="B19" s="14"/>
      <c r="C19" s="14"/>
      <c r="D19" s="7">
        <v>322</v>
      </c>
      <c r="E19" s="7">
        <v>113.84441901506101</v>
      </c>
      <c r="F19" s="7">
        <v>0.34102534695397502</v>
      </c>
      <c r="G19" s="7">
        <v>1.88652319591615E-2</v>
      </c>
      <c r="H19" s="7">
        <v>36.657902922849502</v>
      </c>
      <c r="I19" s="7">
        <v>0.10981016171918</v>
      </c>
      <c r="J19" s="7">
        <v>6.0746046908500004E-3</v>
      </c>
      <c r="K19" s="7">
        <v>2651.2102199999999</v>
      </c>
      <c r="L19" s="7">
        <v>0.12145396753939799</v>
      </c>
    </row>
    <row r="20" spans="1:12" x14ac:dyDescent="0.3">
      <c r="A20" s="11">
        <v>2008</v>
      </c>
      <c r="B20" s="14"/>
      <c r="C20" s="14"/>
      <c r="D20" s="7">
        <v>86</v>
      </c>
      <c r="E20" s="7">
        <v>114.429640368012</v>
      </c>
      <c r="F20" s="7">
        <v>0.34277840008267402</v>
      </c>
      <c r="G20" s="7">
        <v>1.8962209366279102E-2</v>
      </c>
      <c r="H20" s="7">
        <v>9.8409490716490193</v>
      </c>
      <c r="I20" s="7">
        <v>2.947894240711E-2</v>
      </c>
      <c r="J20" s="7">
        <v>1.6307500055E-3</v>
      </c>
      <c r="K20" s="7">
        <v>2653.0348800000002</v>
      </c>
      <c r="L20" s="7">
        <v>3.2415706498363103E-2</v>
      </c>
    </row>
    <row r="21" spans="1:12" x14ac:dyDescent="0.3">
      <c r="A21" s="11">
        <v>2009</v>
      </c>
      <c r="B21" s="14"/>
      <c r="C21" s="14"/>
      <c r="D21" s="7">
        <v>178</v>
      </c>
      <c r="E21" s="7">
        <v>114.91633193676699</v>
      </c>
      <c r="F21" s="7">
        <v>0.34423630344348299</v>
      </c>
      <c r="G21" s="7">
        <v>1.9042859339438199E-2</v>
      </c>
      <c r="H21" s="7">
        <v>20.455107084744601</v>
      </c>
      <c r="I21" s="7">
        <v>6.127406201294E-2</v>
      </c>
      <c r="J21" s="7">
        <v>3.38962896242E-3</v>
      </c>
      <c r="K21" s="7">
        <v>2655.2113800000002</v>
      </c>
      <c r="L21" s="7">
        <v>6.7037977217467307E-2</v>
      </c>
    </row>
    <row r="22" spans="1:12" x14ac:dyDescent="0.3">
      <c r="A22" s="11">
        <v>2010</v>
      </c>
      <c r="B22" s="14"/>
      <c r="C22" s="14"/>
      <c r="D22" s="7">
        <v>205</v>
      </c>
      <c r="E22" s="7">
        <v>115.392014063763</v>
      </c>
      <c r="F22" s="7">
        <v>0.34566122759697598</v>
      </c>
      <c r="G22" s="7">
        <v>1.91216849308781E-2</v>
      </c>
      <c r="H22" s="7">
        <v>23.655362883071401</v>
      </c>
      <c r="I22" s="7">
        <v>7.0860551657380005E-2</v>
      </c>
      <c r="J22" s="7">
        <v>3.9199454108300004E-3</v>
      </c>
      <c r="K22" s="7">
        <v>2657.3759100000002</v>
      </c>
      <c r="L22" s="7">
        <v>7.7143771503520503E-2</v>
      </c>
    </row>
    <row r="23" spans="1:12" x14ac:dyDescent="0.3">
      <c r="A23" s="11">
        <v>2011</v>
      </c>
      <c r="B23" s="14"/>
      <c r="C23" s="14"/>
      <c r="D23" s="7">
        <v>337</v>
      </c>
      <c r="E23" s="7">
        <v>115.86269357609901</v>
      </c>
      <c r="F23" s="7">
        <v>0.34707116622540102</v>
      </c>
      <c r="G23" s="7">
        <v>1.9199681535875399E-2</v>
      </c>
      <c r="H23" s="7">
        <v>39.045727735145299</v>
      </c>
      <c r="I23" s="7">
        <v>0.11696298301796</v>
      </c>
      <c r="J23" s="7">
        <v>6.4702926775899996E-3</v>
      </c>
      <c r="K23" s="7">
        <v>2659.83842</v>
      </c>
      <c r="L23" s="7">
        <v>0.12669942559894301</v>
      </c>
    </row>
    <row r="24" spans="1:12" x14ac:dyDescent="0.3">
      <c r="A24" s="11">
        <v>2012</v>
      </c>
      <c r="B24" s="14"/>
      <c r="C24" s="14"/>
      <c r="D24" s="7">
        <v>634</v>
      </c>
      <c r="E24" s="7">
        <v>116.33070473982799</v>
      </c>
      <c r="F24" s="7">
        <v>0.34847311171268103</v>
      </c>
      <c r="G24" s="7">
        <v>1.9277235967082001E-2</v>
      </c>
      <c r="H24" s="7">
        <v>73.753666805051196</v>
      </c>
      <c r="I24" s="7">
        <v>0.22093195282583999</v>
      </c>
      <c r="J24" s="7">
        <v>1.2221767603130001E-2</v>
      </c>
      <c r="K24" s="7">
        <v>2661.8892599999999</v>
      </c>
      <c r="L24" s="7">
        <v>0.23817670010810299</v>
      </c>
    </row>
    <row r="25" spans="1:12" x14ac:dyDescent="0.3">
      <c r="A25" s="11">
        <v>2013</v>
      </c>
      <c r="B25" s="14"/>
      <c r="C25" s="14"/>
      <c r="D25" s="7">
        <v>92</v>
      </c>
      <c r="E25" s="7">
        <v>116.592161210706</v>
      </c>
      <c r="F25" s="7">
        <v>0.34925631465282603</v>
      </c>
      <c r="G25" s="7">
        <v>1.93205620871739E-2</v>
      </c>
      <c r="H25" s="7">
        <v>10.726478831385</v>
      </c>
      <c r="I25" s="7">
        <v>3.2131580948059998E-2</v>
      </c>
      <c r="J25" s="7">
        <v>1.77749171202E-3</v>
      </c>
      <c r="K25" s="7">
        <v>2663.73054</v>
      </c>
      <c r="L25" s="7">
        <v>3.4538028009394699E-2</v>
      </c>
    </row>
    <row r="26" spans="1:12" x14ac:dyDescent="0.3">
      <c r="A26" s="11">
        <v>2014</v>
      </c>
      <c r="B26" s="14"/>
      <c r="C26" s="14"/>
      <c r="D26" s="7">
        <v>529</v>
      </c>
      <c r="E26" s="7">
        <v>116.937341568948</v>
      </c>
      <c r="F26" s="7">
        <v>0.35029031572597302</v>
      </c>
      <c r="G26" s="7">
        <v>1.9377762146540599E-2</v>
      </c>
      <c r="H26" s="7">
        <v>61.859853689973498</v>
      </c>
      <c r="I26" s="7">
        <v>0.18530357701903999</v>
      </c>
      <c r="J26" s="7">
        <v>1.0250836175520001E-2</v>
      </c>
      <c r="K26" s="7">
        <v>2666.3763600000002</v>
      </c>
      <c r="L26" s="7">
        <v>0.19839659844568999</v>
      </c>
    </row>
    <row r="27" spans="1:12" x14ac:dyDescent="0.3">
      <c r="A27" s="11">
        <v>2015</v>
      </c>
      <c r="B27" s="14"/>
      <c r="C27" s="14"/>
      <c r="D27" s="7">
        <v>344</v>
      </c>
      <c r="E27" s="7">
        <v>117.640272498838</v>
      </c>
      <c r="F27" s="7">
        <v>0.35239597243119197</v>
      </c>
      <c r="G27" s="7">
        <v>1.94942452834302E-2</v>
      </c>
      <c r="H27" s="7">
        <v>40.4682537396002</v>
      </c>
      <c r="I27" s="7">
        <v>0.12122421451633</v>
      </c>
      <c r="J27" s="7">
        <v>6.7060203775E-3</v>
      </c>
      <c r="K27" s="7">
        <v>2668.3921599999999</v>
      </c>
      <c r="L27" s="7">
        <v>0.128916583235652</v>
      </c>
    </row>
    <row r="28" spans="1:12" x14ac:dyDescent="0.3">
      <c r="A28" s="11">
        <v>2016</v>
      </c>
      <c r="B28" s="14"/>
      <c r="C28" s="14"/>
      <c r="D28" s="7">
        <v>141</v>
      </c>
      <c r="E28" s="7">
        <v>118.164640853241</v>
      </c>
      <c r="F28" s="7">
        <v>0.35396673805624101</v>
      </c>
      <c r="G28" s="7">
        <v>1.9581138700992901E-2</v>
      </c>
      <c r="H28" s="7">
        <v>16.661214360307</v>
      </c>
      <c r="I28" s="7">
        <v>4.9909310065930003E-2</v>
      </c>
      <c r="J28" s="7">
        <v>2.7609405568399998E-3</v>
      </c>
      <c r="K28" s="7">
        <v>2669.8497600000001</v>
      </c>
      <c r="L28" s="7">
        <v>5.2811960475259101E-2</v>
      </c>
    </row>
    <row r="29" spans="1:12" x14ac:dyDescent="0.3">
      <c r="A29" s="11">
        <v>2017</v>
      </c>
      <c r="B29" s="14"/>
      <c r="C29" s="14"/>
      <c r="D29" s="7">
        <v>170</v>
      </c>
      <c r="E29" s="7">
        <v>118.68985631067299</v>
      </c>
      <c r="F29" s="7">
        <v>0.35554004121105898</v>
      </c>
      <c r="G29" s="7">
        <v>1.96681724925294E-2</v>
      </c>
      <c r="H29" s="7">
        <v>20.177275572814398</v>
      </c>
      <c r="I29" s="7">
        <v>6.0441807005879998E-2</v>
      </c>
      <c r="J29" s="7">
        <v>3.3435893237299999E-3</v>
      </c>
      <c r="K29" s="7">
        <v>2671.6585</v>
      </c>
      <c r="L29" s="7">
        <v>6.3630886956547797E-2</v>
      </c>
    </row>
    <row r="30" spans="1:12" x14ac:dyDescent="0.3">
      <c r="A30" s="11">
        <v>2018</v>
      </c>
      <c r="B30" s="14"/>
      <c r="C30" s="14"/>
      <c r="D30" s="7">
        <v>492</v>
      </c>
      <c r="E30" s="7">
        <v>119.332978797411</v>
      </c>
      <c r="F30" s="7">
        <v>0.35746653941863799</v>
      </c>
      <c r="G30" s="7">
        <v>1.9774744733800802E-2</v>
      </c>
      <c r="H30" s="7">
        <v>58.711825568326397</v>
      </c>
      <c r="I30" s="7">
        <v>0.17587353739396999</v>
      </c>
      <c r="J30" s="7">
        <v>9.7291744090299993E-3</v>
      </c>
      <c r="K30" s="7">
        <v>2673.39167</v>
      </c>
      <c r="L30" s="7">
        <v>0.18403588427430101</v>
      </c>
    </row>
    <row r="31" spans="1:12" x14ac:dyDescent="0.3">
      <c r="A31" s="11">
        <v>2019</v>
      </c>
      <c r="B31" s="14"/>
      <c r="C31" s="14"/>
      <c r="D31" s="7">
        <v>520</v>
      </c>
      <c r="E31" s="7">
        <v>119.692766157051</v>
      </c>
      <c r="F31" s="7">
        <v>0.35854429632769202</v>
      </c>
      <c r="G31" s="7">
        <v>1.9834365328769199E-2</v>
      </c>
      <c r="H31" s="7">
        <v>62.240238401666403</v>
      </c>
      <c r="I31" s="7">
        <v>0.1864430340904</v>
      </c>
      <c r="J31" s="7">
        <v>1.031386997096E-2</v>
      </c>
      <c r="K31" s="7">
        <v>2675.6698799999999</v>
      </c>
      <c r="L31" s="7">
        <v>0.194343855304003</v>
      </c>
    </row>
    <row r="32" spans="1:12" x14ac:dyDescent="0.3">
      <c r="A32" s="11">
        <v>2020</v>
      </c>
      <c r="B32" s="14"/>
      <c r="C32" s="14"/>
      <c r="D32" s="7">
        <v>484</v>
      </c>
      <c r="E32" s="7">
        <v>119.402190261797</v>
      </c>
      <c r="F32" s="7">
        <v>0.35767386502896698</v>
      </c>
      <c r="G32" s="7">
        <v>1.9786213810103301E-2</v>
      </c>
      <c r="H32" s="7">
        <v>57.790660086709899</v>
      </c>
      <c r="I32" s="7">
        <v>0.17311415067402</v>
      </c>
      <c r="J32" s="7">
        <v>9.5765274840900003E-3</v>
      </c>
      <c r="K32" s="7">
        <v>2677.3289799999998</v>
      </c>
      <c r="L32" s="7">
        <v>0.18077718637326401</v>
      </c>
    </row>
    <row r="33" spans="1:12" x14ac:dyDescent="0.3">
      <c r="A33" s="11">
        <v>2021</v>
      </c>
      <c r="B33" s="14"/>
      <c r="C33" s="14"/>
      <c r="D33" s="7">
        <v>411</v>
      </c>
      <c r="E33" s="7">
        <v>119.422053599216</v>
      </c>
      <c r="F33" s="7">
        <v>0.35773336642211701</v>
      </c>
      <c r="G33" s="7">
        <v>1.9789505376544999E-2</v>
      </c>
      <c r="H33" s="7">
        <v>49.082464029277901</v>
      </c>
      <c r="I33" s="7">
        <v>0.14702841359949001</v>
      </c>
      <c r="J33" s="7">
        <v>8.1334867097599996E-3</v>
      </c>
      <c r="K33" s="7">
        <v>2678.8041499999999</v>
      </c>
      <c r="L33" s="7">
        <v>0.153426669881783</v>
      </c>
    </row>
    <row r="34" spans="1:12" x14ac:dyDescent="0.3">
      <c r="A34" s="11">
        <v>2022</v>
      </c>
      <c r="B34" s="14"/>
      <c r="C34" s="14"/>
      <c r="D34" s="7">
        <v>1715</v>
      </c>
      <c r="E34" s="7">
        <v>118.32572340717699</v>
      </c>
      <c r="F34" s="7">
        <v>0.35444926705782498</v>
      </c>
      <c r="G34" s="7">
        <v>1.9607831794687999E-2</v>
      </c>
      <c r="H34" s="7">
        <v>202.92861564330801</v>
      </c>
      <c r="I34" s="7">
        <v>0.60788049300417002</v>
      </c>
      <c r="J34" s="7">
        <v>3.3627431527890002E-2</v>
      </c>
      <c r="K34" s="7">
        <v>2680.3719799999999</v>
      </c>
      <c r="L34" s="7">
        <v>0.63983656477411799</v>
      </c>
    </row>
    <row r="35" spans="1:12" x14ac:dyDescent="0.3">
      <c r="A35" s="11">
        <v>2023</v>
      </c>
      <c r="B35" s="14"/>
      <c r="C35" s="14"/>
      <c r="D35" s="7">
        <v>217</v>
      </c>
      <c r="E35" s="7">
        <v>118.078023312536</v>
      </c>
      <c r="F35" s="7">
        <v>0.35370727187311701</v>
      </c>
      <c r="G35" s="7">
        <v>1.95667852525554E-2</v>
      </c>
      <c r="H35" s="7">
        <v>25.622931058820399</v>
      </c>
      <c r="I35" s="7">
        <v>7.6754477996466494E-2</v>
      </c>
      <c r="J35" s="7">
        <v>4.2459923998045303E-3</v>
      </c>
      <c r="K35" s="7">
        <v>2681.7636900000002</v>
      </c>
      <c r="L35" s="7">
        <v>8.0916898386375002E-2</v>
      </c>
    </row>
    <row r="36" spans="1:12" x14ac:dyDescent="0.3">
      <c r="A36" s="12">
        <v>2024</v>
      </c>
      <c r="B36" s="5"/>
      <c r="C36" s="5"/>
      <c r="D36" s="8">
        <v>140</v>
      </c>
      <c r="E36" s="8">
        <v>117.422117367914</v>
      </c>
      <c r="F36" s="8">
        <v>0.35174248032453598</v>
      </c>
      <c r="G36" s="8">
        <v>1.94580946562509E-2</v>
      </c>
      <c r="H36" s="8">
        <v>16.439096431507998</v>
      </c>
      <c r="I36" s="8">
        <v>4.9243947245435002E-2</v>
      </c>
      <c r="J36" s="8">
        <v>2.7241332518751298E-3</v>
      </c>
      <c r="K36" s="8">
        <v>2683.1383099999998</v>
      </c>
      <c r="L36" s="8">
        <v>5.21777052931722E-2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.77734375" customWidth="1"/>
    <col min="2" max="2" width="11.77734375" customWidth="1"/>
    <col min="3" max="3" width="4.109375" customWidth="1"/>
    <col min="4" max="4" width="7.77734375" customWidth="1"/>
    <col min="5" max="5" width="6.77734375" customWidth="1"/>
    <col min="6" max="7" width="11.77734375" customWidth="1"/>
    <col min="8" max="8" width="5" customWidth="1"/>
    <col min="9" max="10" width="10.77734375" customWidth="1"/>
    <col min="11" max="11" width="9.77734375" customWidth="1"/>
    <col min="12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99</v>
      </c>
      <c r="C2" s="13" t="s">
        <v>100</v>
      </c>
      <c r="D2" s="6">
        <v>1606</v>
      </c>
      <c r="E2" s="6"/>
      <c r="F2" s="6">
        <v>0.21999242839352401</v>
      </c>
      <c r="G2" s="6">
        <v>1.2169794520547899E-2</v>
      </c>
      <c r="H2" s="6"/>
      <c r="I2" s="6">
        <v>0.35330783999999998</v>
      </c>
      <c r="J2" s="6">
        <v>1.954469E-2</v>
      </c>
      <c r="K2" s="6">
        <v>10631.205</v>
      </c>
      <c r="L2" s="6">
        <v>0.15106471938035201</v>
      </c>
    </row>
    <row r="3" spans="1:12" x14ac:dyDescent="0.3">
      <c r="A3" s="11">
        <v>1991</v>
      </c>
      <c r="B3" s="14" t="s">
        <v>99</v>
      </c>
      <c r="C3" s="14" t="s">
        <v>100</v>
      </c>
      <c r="D3" s="7">
        <v>920</v>
      </c>
      <c r="E3" s="7"/>
      <c r="F3" s="7">
        <v>0.21976130434782601</v>
      </c>
      <c r="G3" s="7">
        <v>1.21570108695652E-2</v>
      </c>
      <c r="H3" s="7"/>
      <c r="I3" s="7">
        <v>0.20218040000000001</v>
      </c>
      <c r="J3" s="7">
        <v>1.118445E-2</v>
      </c>
      <c r="K3" s="7">
        <v>10640.099</v>
      </c>
      <c r="L3" s="7">
        <v>8.6465360895608204E-2</v>
      </c>
    </row>
    <row r="4" spans="1:12" x14ac:dyDescent="0.3">
      <c r="A4" s="11">
        <v>1992</v>
      </c>
      <c r="B4" s="14" t="s">
        <v>99</v>
      </c>
      <c r="C4" s="14" t="s">
        <v>100</v>
      </c>
      <c r="D4" s="7">
        <v>4908</v>
      </c>
      <c r="E4" s="7"/>
      <c r="F4" s="7">
        <v>0.21953018541157299</v>
      </c>
      <c r="G4" s="7">
        <v>1.21442237163814E-2</v>
      </c>
      <c r="H4" s="7"/>
      <c r="I4" s="7">
        <v>1.0774541500000001</v>
      </c>
      <c r="J4" s="7">
        <v>5.960385E-2</v>
      </c>
      <c r="K4" s="7">
        <v>10648.964</v>
      </c>
      <c r="L4" s="7">
        <v>0.46088990440760202</v>
      </c>
    </row>
    <row r="5" spans="1:12" x14ac:dyDescent="0.3">
      <c r="A5" s="11">
        <v>1993</v>
      </c>
      <c r="B5" s="14" t="s">
        <v>99</v>
      </c>
      <c r="C5" s="14" t="s">
        <v>100</v>
      </c>
      <c r="D5" s="7">
        <v>1492.9</v>
      </c>
      <c r="E5" s="7"/>
      <c r="F5" s="7">
        <v>0.21929906222787901</v>
      </c>
      <c r="G5" s="7">
        <v>1.21314354611829E-2</v>
      </c>
      <c r="H5" s="7"/>
      <c r="I5" s="7">
        <v>0.32739157000000002</v>
      </c>
      <c r="J5" s="7">
        <v>1.8111019999999999E-2</v>
      </c>
      <c r="K5" s="7">
        <v>10657.821</v>
      </c>
      <c r="L5" s="7">
        <v>0.140075537016431</v>
      </c>
    </row>
    <row r="6" spans="1:12" x14ac:dyDescent="0.3">
      <c r="A6" s="11">
        <v>1994</v>
      </c>
      <c r="B6" s="14" t="s">
        <v>99</v>
      </c>
      <c r="C6" s="14" t="s">
        <v>100</v>
      </c>
      <c r="D6" s="7">
        <v>1114.2</v>
      </c>
      <c r="E6" s="7"/>
      <c r="F6" s="7">
        <v>0.219067941123676</v>
      </c>
      <c r="G6" s="7">
        <v>1.2118650152575801E-2</v>
      </c>
      <c r="H6" s="7"/>
      <c r="I6" s="7">
        <v>0.24408550000000001</v>
      </c>
      <c r="J6" s="7">
        <v>1.35026E-2</v>
      </c>
      <c r="K6" s="7">
        <v>10666.671</v>
      </c>
      <c r="L6" s="7">
        <v>0.104456207564666</v>
      </c>
    </row>
    <row r="7" spans="1:12" x14ac:dyDescent="0.3">
      <c r="A7" s="11">
        <v>1995</v>
      </c>
      <c r="B7" s="14" t="s">
        <v>99</v>
      </c>
      <c r="C7" s="14" t="s">
        <v>100</v>
      </c>
      <c r="D7" s="7">
        <v>591.9</v>
      </c>
      <c r="E7" s="7"/>
      <c r="F7" s="7">
        <v>0.218836813650955</v>
      </c>
      <c r="G7" s="7">
        <v>1.21058624767697E-2</v>
      </c>
      <c r="H7" s="7"/>
      <c r="I7" s="7">
        <v>0.12952950999999999</v>
      </c>
      <c r="J7" s="7">
        <v>7.1654600000000002E-3</v>
      </c>
      <c r="K7" s="7">
        <v>10675.504000000001</v>
      </c>
      <c r="L7" s="7">
        <v>5.5444689075101299E-2</v>
      </c>
    </row>
    <row r="8" spans="1:12" x14ac:dyDescent="0.3">
      <c r="A8" s="11">
        <v>1996</v>
      </c>
      <c r="B8" s="14" t="s">
        <v>99</v>
      </c>
      <c r="C8" s="14" t="s">
        <v>100</v>
      </c>
      <c r="D8" s="7">
        <v>1381.3</v>
      </c>
      <c r="E8" s="7"/>
      <c r="F8" s="7">
        <v>0.21860569753131101</v>
      </c>
      <c r="G8" s="7">
        <v>1.2093078983566199E-2</v>
      </c>
      <c r="H8" s="7"/>
      <c r="I8" s="7">
        <v>0.30196004999999998</v>
      </c>
      <c r="J8" s="7">
        <v>1.6704170000000001E-2</v>
      </c>
      <c r="K8" s="7">
        <v>10684.355</v>
      </c>
      <c r="L8" s="7">
        <v>0.129282488273742</v>
      </c>
    </row>
    <row r="9" spans="1:12" x14ac:dyDescent="0.3">
      <c r="A9" s="11">
        <v>1997</v>
      </c>
      <c r="B9" s="14" t="s">
        <v>99</v>
      </c>
      <c r="C9" s="14" t="s">
        <v>100</v>
      </c>
      <c r="D9" s="7">
        <v>599</v>
      </c>
      <c r="E9" s="7"/>
      <c r="F9" s="7">
        <v>0.21837457429048401</v>
      </c>
      <c r="G9" s="7">
        <v>1.2080300500834701E-2</v>
      </c>
      <c r="H9" s="7"/>
      <c r="I9" s="7">
        <v>0.13080637000000001</v>
      </c>
      <c r="J9" s="7">
        <v>7.2360999999999997E-3</v>
      </c>
      <c r="K9" s="7">
        <v>10693.175999999999</v>
      </c>
      <c r="L9" s="7">
        <v>5.60170336670789E-2</v>
      </c>
    </row>
    <row r="10" spans="1:12" x14ac:dyDescent="0.3">
      <c r="A10" s="11">
        <v>1998</v>
      </c>
      <c r="B10" s="14" t="s">
        <v>99</v>
      </c>
      <c r="C10" s="14" t="s">
        <v>100</v>
      </c>
      <c r="D10" s="7">
        <v>397.3</v>
      </c>
      <c r="E10" s="7"/>
      <c r="F10" s="7">
        <v>0.21814344324188301</v>
      </c>
      <c r="G10" s="7">
        <v>1.2067505663226801E-2</v>
      </c>
      <c r="H10" s="7"/>
      <c r="I10" s="7">
        <v>8.6668389999999998E-2</v>
      </c>
      <c r="J10" s="7">
        <v>4.7944199999999998E-3</v>
      </c>
      <c r="K10" s="7">
        <v>10701.993</v>
      </c>
      <c r="L10" s="7">
        <v>3.7123926356520703E-2</v>
      </c>
    </row>
    <row r="11" spans="1:12" x14ac:dyDescent="0.3">
      <c r="A11" s="11">
        <v>1999</v>
      </c>
      <c r="B11" s="14" t="s">
        <v>99</v>
      </c>
      <c r="C11" s="14" t="s">
        <v>100</v>
      </c>
      <c r="D11" s="7">
        <v>414.7</v>
      </c>
      <c r="E11" s="7"/>
      <c r="F11" s="7">
        <v>0.217912322160598</v>
      </c>
      <c r="G11" s="7">
        <v>1.2054714251266E-2</v>
      </c>
      <c r="H11" s="7"/>
      <c r="I11" s="7">
        <v>9.0368240000000002E-2</v>
      </c>
      <c r="J11" s="7">
        <v>4.9990900000000003E-3</v>
      </c>
      <c r="K11" s="7">
        <v>10710.793</v>
      </c>
      <c r="L11" s="7">
        <v>3.8717954870381703E-2</v>
      </c>
    </row>
    <row r="12" spans="1:12" x14ac:dyDescent="0.3">
      <c r="A12" s="11">
        <v>2000</v>
      </c>
      <c r="B12" s="14" t="s">
        <v>99</v>
      </c>
      <c r="C12" s="14" t="s">
        <v>100</v>
      </c>
      <c r="D12" s="7">
        <v>581.29999999999995</v>
      </c>
      <c r="E12" s="7"/>
      <c r="F12" s="7">
        <v>0.21768119731635999</v>
      </c>
      <c r="G12" s="7">
        <v>1.20419404782384E-2</v>
      </c>
      <c r="H12" s="7"/>
      <c r="I12" s="7">
        <v>0.12653808</v>
      </c>
      <c r="J12" s="7">
        <v>6.9999800000000003E-3</v>
      </c>
      <c r="K12" s="7">
        <v>10719.588</v>
      </c>
      <c r="L12" s="7">
        <v>5.4227830397959302E-2</v>
      </c>
    </row>
    <row r="13" spans="1:12" x14ac:dyDescent="0.3">
      <c r="A13" s="11">
        <v>2001</v>
      </c>
      <c r="B13" s="14" t="s">
        <v>99</v>
      </c>
      <c r="C13" s="14" t="s">
        <v>100</v>
      </c>
      <c r="D13" s="7">
        <v>121.8</v>
      </c>
      <c r="E13" s="7"/>
      <c r="F13" s="7">
        <v>0.217450082101806</v>
      </c>
      <c r="G13" s="7">
        <v>1.20291461412151E-2</v>
      </c>
      <c r="H13" s="7"/>
      <c r="I13" s="7">
        <v>2.6485419999999999E-2</v>
      </c>
      <c r="J13" s="7">
        <v>1.4651499999999999E-3</v>
      </c>
      <c r="K13" s="7">
        <v>10728.39</v>
      </c>
      <c r="L13" s="7">
        <v>1.13530548386105E-2</v>
      </c>
    </row>
    <row r="14" spans="1:12" x14ac:dyDescent="0.3">
      <c r="A14" s="11">
        <v>2002</v>
      </c>
      <c r="B14" s="14" t="s">
        <v>99</v>
      </c>
      <c r="C14" s="14" t="s">
        <v>100</v>
      </c>
      <c r="D14" s="7">
        <v>122.1</v>
      </c>
      <c r="E14" s="7"/>
      <c r="F14" s="7">
        <v>0.217219000819001</v>
      </c>
      <c r="G14" s="7">
        <v>1.201638001638E-2</v>
      </c>
      <c r="H14" s="7"/>
      <c r="I14" s="7">
        <v>2.6522440000000001E-2</v>
      </c>
      <c r="J14" s="7">
        <v>1.4672000000000001E-3</v>
      </c>
      <c r="K14" s="7">
        <v>10737.174000000001</v>
      </c>
      <c r="L14" s="7">
        <v>1.13717073039889E-2</v>
      </c>
    </row>
    <row r="15" spans="1:12" x14ac:dyDescent="0.3">
      <c r="A15" s="11">
        <v>2003</v>
      </c>
      <c r="B15" s="14" t="s">
        <v>99</v>
      </c>
      <c r="C15" s="14" t="s">
        <v>100</v>
      </c>
      <c r="D15" s="7">
        <v>1315.2</v>
      </c>
      <c r="E15" s="7"/>
      <c r="F15" s="7">
        <v>0.21753973540145999</v>
      </c>
      <c r="G15" s="7">
        <v>1.20341164841849E-2</v>
      </c>
      <c r="H15" s="7"/>
      <c r="I15" s="7">
        <v>0.28610826</v>
      </c>
      <c r="J15" s="7">
        <v>1.5827270000000001E-2</v>
      </c>
      <c r="K15" s="7">
        <v>10745.941000000001</v>
      </c>
      <c r="L15" s="7">
        <v>0.122390398383911</v>
      </c>
    </row>
    <row r="16" spans="1:12" x14ac:dyDescent="0.3">
      <c r="A16" s="11">
        <v>2004</v>
      </c>
      <c r="B16" s="14" t="s">
        <v>99</v>
      </c>
      <c r="C16" s="14" t="s">
        <v>100</v>
      </c>
      <c r="D16" s="7">
        <v>274.3</v>
      </c>
      <c r="E16" s="7"/>
      <c r="F16" s="7">
        <v>0.21786051768137099</v>
      </c>
      <c r="G16" s="7">
        <v>1.20518410499453E-2</v>
      </c>
      <c r="H16" s="7"/>
      <c r="I16" s="7">
        <v>5.9759140000000002E-2</v>
      </c>
      <c r="J16" s="7">
        <v>3.3058200000000001E-3</v>
      </c>
      <c r="K16" s="7">
        <v>10754.696</v>
      </c>
      <c r="L16" s="7">
        <v>2.55051374766893E-2</v>
      </c>
    </row>
    <row r="17" spans="1:12" x14ac:dyDescent="0.3">
      <c r="A17" s="11">
        <v>2005</v>
      </c>
      <c r="B17" s="14" t="s">
        <v>99</v>
      </c>
      <c r="C17" s="14" t="s">
        <v>100</v>
      </c>
      <c r="D17" s="7">
        <v>183.4</v>
      </c>
      <c r="E17" s="7"/>
      <c r="F17" s="7">
        <v>0.218181297709924</v>
      </c>
      <c r="G17" s="7">
        <v>1.20696292257361E-2</v>
      </c>
      <c r="H17" s="7"/>
      <c r="I17" s="7">
        <v>4.001445E-2</v>
      </c>
      <c r="J17" s="7">
        <v>2.2135700000000002E-3</v>
      </c>
      <c r="K17" s="7">
        <v>10763.444</v>
      </c>
      <c r="L17" s="7">
        <v>1.7039155868697801E-2</v>
      </c>
    </row>
    <row r="18" spans="1:12" x14ac:dyDescent="0.3">
      <c r="A18" s="11">
        <v>2006</v>
      </c>
      <c r="B18" s="14" t="s">
        <v>99</v>
      </c>
      <c r="C18" s="14" t="s">
        <v>100</v>
      </c>
      <c r="D18" s="7">
        <v>482.1</v>
      </c>
      <c r="E18" s="7"/>
      <c r="F18" s="7">
        <v>0.21850205351586799</v>
      </c>
      <c r="G18" s="7">
        <v>1.20873470234391E-2</v>
      </c>
      <c r="H18" s="7"/>
      <c r="I18" s="7">
        <v>0.10533984</v>
      </c>
      <c r="J18" s="7">
        <v>5.8273099999999996E-3</v>
      </c>
      <c r="K18" s="7">
        <v>10772.156000000001</v>
      </c>
      <c r="L18" s="7">
        <v>4.4754272032451102E-2</v>
      </c>
    </row>
    <row r="19" spans="1:12" x14ac:dyDescent="0.3">
      <c r="A19" s="11">
        <v>2007</v>
      </c>
      <c r="B19" s="14" t="s">
        <v>99</v>
      </c>
      <c r="C19" s="14" t="s">
        <v>100</v>
      </c>
      <c r="D19" s="7">
        <v>253.9</v>
      </c>
      <c r="E19" s="7"/>
      <c r="F19" s="7">
        <v>0.21882284363922799</v>
      </c>
      <c r="G19" s="7">
        <v>1.2105080740449E-2</v>
      </c>
      <c r="H19" s="7"/>
      <c r="I19" s="7">
        <v>5.5559119999999997E-2</v>
      </c>
      <c r="J19" s="7">
        <v>3.07348E-3</v>
      </c>
      <c r="K19" s="7">
        <v>10780.852999999999</v>
      </c>
      <c r="L19" s="7">
        <v>2.3551012150893801E-2</v>
      </c>
    </row>
    <row r="20" spans="1:12" x14ac:dyDescent="0.3">
      <c r="A20" s="11">
        <v>2008</v>
      </c>
      <c r="B20" s="14" t="s">
        <v>99</v>
      </c>
      <c r="C20" s="14" t="s">
        <v>100</v>
      </c>
      <c r="D20" s="7">
        <v>538.5</v>
      </c>
      <c r="E20" s="7"/>
      <c r="F20" s="7">
        <v>0.219143602599814</v>
      </c>
      <c r="G20" s="7">
        <v>1.21228412256267E-2</v>
      </c>
      <c r="H20" s="7"/>
      <c r="I20" s="7">
        <v>0.11800883</v>
      </c>
      <c r="J20" s="7">
        <v>6.5281499999999999E-3</v>
      </c>
      <c r="K20" s="7">
        <v>10789.532999999999</v>
      </c>
      <c r="L20" s="7">
        <v>4.9909481717141997E-2</v>
      </c>
    </row>
    <row r="21" spans="1:12" x14ac:dyDescent="0.3">
      <c r="A21" s="11">
        <v>2009</v>
      </c>
      <c r="B21" s="14" t="s">
        <v>99</v>
      </c>
      <c r="C21" s="14" t="s">
        <v>100</v>
      </c>
      <c r="D21" s="7">
        <v>262.10000000000002</v>
      </c>
      <c r="E21" s="7"/>
      <c r="F21" s="7">
        <v>0.22069320869896999</v>
      </c>
      <c r="G21" s="7">
        <v>1.22085463563525E-2</v>
      </c>
      <c r="H21" s="7"/>
      <c r="I21" s="7">
        <v>5.7843690000000003E-2</v>
      </c>
      <c r="J21" s="7">
        <v>3.1998600000000001E-3</v>
      </c>
      <c r="K21" s="7">
        <v>10798.200999999999</v>
      </c>
      <c r="L21" s="7">
        <v>2.4272561698008802E-2</v>
      </c>
    </row>
    <row r="22" spans="1:12" x14ac:dyDescent="0.3">
      <c r="A22" s="11">
        <v>2010</v>
      </c>
      <c r="B22" s="14" t="s">
        <v>99</v>
      </c>
      <c r="C22" s="14" t="s">
        <v>100</v>
      </c>
      <c r="D22" s="7">
        <v>522</v>
      </c>
      <c r="E22" s="7"/>
      <c r="F22" s="7">
        <v>0.22224279693486601</v>
      </c>
      <c r="G22" s="7">
        <v>1.22942911877395E-2</v>
      </c>
      <c r="H22" s="7"/>
      <c r="I22" s="7">
        <v>0.11601074</v>
      </c>
      <c r="J22" s="7">
        <v>6.4176199999999997E-3</v>
      </c>
      <c r="K22" s="7">
        <v>10806.864</v>
      </c>
      <c r="L22" s="7">
        <v>4.8302634325739599E-2</v>
      </c>
    </row>
    <row r="23" spans="1:12" x14ac:dyDescent="0.3">
      <c r="A23" s="11">
        <v>2011</v>
      </c>
      <c r="B23" s="14" t="s">
        <v>99</v>
      </c>
      <c r="C23" s="14" t="s">
        <v>100</v>
      </c>
      <c r="D23" s="7">
        <v>213.9</v>
      </c>
      <c r="E23" s="7"/>
      <c r="F23" s="7">
        <v>0.223792379616643</v>
      </c>
      <c r="G23" s="7">
        <v>1.23799906498364E-2</v>
      </c>
      <c r="H23" s="7"/>
      <c r="I23" s="7">
        <v>4.7869189999999999E-2</v>
      </c>
      <c r="J23" s="7">
        <v>2.6480800000000001E-3</v>
      </c>
      <c r="K23" s="7">
        <v>10809.206</v>
      </c>
      <c r="L23" s="7">
        <v>1.9788687531720601E-2</v>
      </c>
    </row>
    <row r="24" spans="1:12" x14ac:dyDescent="0.3">
      <c r="A24" s="11">
        <v>2012</v>
      </c>
      <c r="B24" s="14" t="s">
        <v>99</v>
      </c>
      <c r="C24" s="14" t="s">
        <v>100</v>
      </c>
      <c r="D24" s="7">
        <v>268.60000000000002</v>
      </c>
      <c r="E24" s="7"/>
      <c r="F24" s="7">
        <v>0.22534195830230799</v>
      </c>
      <c r="G24" s="7">
        <v>1.2465711094564401E-2</v>
      </c>
      <c r="H24" s="7"/>
      <c r="I24" s="7">
        <v>6.052685E-2</v>
      </c>
      <c r="J24" s="7">
        <v>3.3482899999999999E-3</v>
      </c>
      <c r="K24" s="7">
        <v>10811.52</v>
      </c>
      <c r="L24" s="7">
        <v>2.4843870242112098E-2</v>
      </c>
    </row>
    <row r="25" spans="1:12" x14ac:dyDescent="0.3">
      <c r="A25" s="11">
        <v>2013</v>
      </c>
      <c r="B25" s="14" t="s">
        <v>99</v>
      </c>
      <c r="C25" s="14" t="s">
        <v>100</v>
      </c>
      <c r="D25" s="7">
        <v>198.6</v>
      </c>
      <c r="E25" s="7"/>
      <c r="F25" s="7">
        <v>0.227318932527694</v>
      </c>
      <c r="G25" s="7">
        <v>1.2575075528700901E-2</v>
      </c>
      <c r="H25" s="7"/>
      <c r="I25" s="7">
        <v>4.5145539999999998E-2</v>
      </c>
      <c r="J25" s="7">
        <v>2.4974099999999998E-3</v>
      </c>
      <c r="K25" s="7">
        <v>10813.824000000001</v>
      </c>
      <c r="L25" s="7">
        <v>1.83653812009517E-2</v>
      </c>
    </row>
    <row r="26" spans="1:12" x14ac:dyDescent="0.3">
      <c r="A26" s="11">
        <v>2014</v>
      </c>
      <c r="B26" s="14" t="s">
        <v>99</v>
      </c>
      <c r="C26" s="14" t="s">
        <v>100</v>
      </c>
      <c r="D26" s="7">
        <v>120</v>
      </c>
      <c r="E26" s="7"/>
      <c r="F26" s="7">
        <v>0.22929591666666699</v>
      </c>
      <c r="G26" s="7">
        <v>1.26844166666667E-2</v>
      </c>
      <c r="H26" s="7"/>
      <c r="I26" s="7">
        <v>2.751551E-2</v>
      </c>
      <c r="J26" s="7">
        <v>1.52213E-3</v>
      </c>
      <c r="K26" s="7">
        <v>10816.118</v>
      </c>
      <c r="L26" s="7">
        <v>1.1094553517260099E-2</v>
      </c>
    </row>
    <row r="27" spans="1:12" x14ac:dyDescent="0.3">
      <c r="A27" s="11">
        <v>2015</v>
      </c>
      <c r="B27" s="14" t="s">
        <v>99</v>
      </c>
      <c r="C27" s="14" t="s">
        <v>100</v>
      </c>
      <c r="D27" s="7">
        <v>525.70000000000005</v>
      </c>
      <c r="E27" s="7"/>
      <c r="F27" s="7">
        <v>0.23127285524063201</v>
      </c>
      <c r="G27" s="7">
        <v>1.27938177667871E-2</v>
      </c>
      <c r="H27" s="7"/>
      <c r="I27" s="7">
        <v>0.12158014</v>
      </c>
      <c r="J27" s="7">
        <v>6.7257100000000002E-3</v>
      </c>
      <c r="K27" s="7">
        <v>10818.4</v>
      </c>
      <c r="L27" s="7">
        <v>4.8593137617392597E-2</v>
      </c>
    </row>
    <row r="28" spans="1:12" x14ac:dyDescent="0.3">
      <c r="A28" s="11">
        <v>2016</v>
      </c>
      <c r="B28" s="14" t="s">
        <v>99</v>
      </c>
      <c r="C28" s="14" t="s">
        <v>100</v>
      </c>
      <c r="D28" s="7">
        <v>283.2</v>
      </c>
      <c r="E28" s="7"/>
      <c r="F28" s="7">
        <v>0.233249823446328</v>
      </c>
      <c r="G28" s="7">
        <v>1.29031779661017E-2</v>
      </c>
      <c r="H28" s="7"/>
      <c r="I28" s="7">
        <v>6.605635E-2</v>
      </c>
      <c r="J28" s="7">
        <v>3.6541799999999999E-3</v>
      </c>
      <c r="K28" s="7">
        <v>10826.053</v>
      </c>
      <c r="L28" s="7">
        <v>2.61591181938607E-2</v>
      </c>
    </row>
    <row r="29" spans="1:12" x14ac:dyDescent="0.3">
      <c r="A29" s="11">
        <v>2017</v>
      </c>
      <c r="B29" s="14" t="s">
        <v>99</v>
      </c>
      <c r="C29" s="14" t="s">
        <v>100</v>
      </c>
      <c r="D29" s="7">
        <v>394.78</v>
      </c>
      <c r="E29" s="7"/>
      <c r="F29" s="7">
        <v>0.23522678453822399</v>
      </c>
      <c r="G29" s="7">
        <v>1.30125386291099E-2</v>
      </c>
      <c r="H29" s="7"/>
      <c r="I29" s="7">
        <v>9.2862829999999993E-2</v>
      </c>
      <c r="J29" s="7">
        <v>5.1370900000000004E-3</v>
      </c>
      <c r="K29" s="7">
        <v>10833.696</v>
      </c>
      <c r="L29" s="7">
        <v>3.6440010869789999E-2</v>
      </c>
    </row>
    <row r="30" spans="1:12" x14ac:dyDescent="0.3">
      <c r="A30" s="11">
        <v>2018</v>
      </c>
      <c r="B30" s="14" t="s">
        <v>99</v>
      </c>
      <c r="C30" s="14" t="s">
        <v>100</v>
      </c>
      <c r="D30" s="7">
        <v>2348.81</v>
      </c>
      <c r="E30" s="7"/>
      <c r="F30" s="7">
        <v>0.23395453016633999</v>
      </c>
      <c r="G30" s="7">
        <v>1.294216645876E-2</v>
      </c>
      <c r="H30" s="7"/>
      <c r="I30" s="7">
        <v>0.54951474</v>
      </c>
      <c r="J30" s="7">
        <v>3.0398689999999999E-2</v>
      </c>
      <c r="K30" s="7">
        <v>10841.319</v>
      </c>
      <c r="L30" s="7">
        <v>0.216653527121561</v>
      </c>
    </row>
    <row r="31" spans="1:12" x14ac:dyDescent="0.3">
      <c r="A31" s="11">
        <v>2019</v>
      </c>
      <c r="B31" s="14" t="s">
        <v>99</v>
      </c>
      <c r="C31" s="14" t="s">
        <v>100</v>
      </c>
      <c r="D31" s="7">
        <v>2711.1</v>
      </c>
      <c r="E31" s="7"/>
      <c r="F31" s="7">
        <v>0.23268228763232601</v>
      </c>
      <c r="G31" s="7">
        <v>1.28717863597802E-2</v>
      </c>
      <c r="H31" s="7"/>
      <c r="I31" s="7">
        <v>0.63082495000000005</v>
      </c>
      <c r="J31" s="7">
        <v>3.4896700000000003E-2</v>
      </c>
      <c r="K31" s="7">
        <v>10848.924999999999</v>
      </c>
      <c r="L31" s="7">
        <v>0.24989572699599299</v>
      </c>
    </row>
    <row r="32" spans="1:12" x14ac:dyDescent="0.3">
      <c r="A32" s="11">
        <v>2020</v>
      </c>
      <c r="B32" s="14" t="s">
        <v>99</v>
      </c>
      <c r="C32" s="14" t="s">
        <v>100</v>
      </c>
      <c r="D32" s="7">
        <v>367.66</v>
      </c>
      <c r="E32" s="7"/>
      <c r="F32" s="7">
        <v>0.23141005276614299</v>
      </c>
      <c r="G32" s="7">
        <v>1.2801419790023401E-2</v>
      </c>
      <c r="H32" s="7"/>
      <c r="I32" s="7">
        <v>8.5080219999999998E-2</v>
      </c>
      <c r="J32" s="7">
        <v>4.7065700000000002E-3</v>
      </c>
      <c r="K32" s="7">
        <v>10856.523999999999</v>
      </c>
      <c r="L32" s="7">
        <v>3.38653513776601E-2</v>
      </c>
    </row>
    <row r="33" spans="1:12" x14ac:dyDescent="0.3">
      <c r="A33" s="11">
        <v>2021</v>
      </c>
      <c r="B33" s="14" t="s">
        <v>99</v>
      </c>
      <c r="C33" s="14" t="s">
        <v>100</v>
      </c>
      <c r="D33" s="7">
        <v>147.81</v>
      </c>
      <c r="E33" s="7"/>
      <c r="F33" s="7">
        <v>0.23013781205601799</v>
      </c>
      <c r="G33" s="7">
        <v>1.27310060212435E-2</v>
      </c>
      <c r="H33" s="7"/>
      <c r="I33" s="7">
        <v>3.4016669999999999E-2</v>
      </c>
      <c r="J33" s="7">
        <v>1.8817700000000001E-3</v>
      </c>
      <c r="K33" s="7">
        <v>10862.786</v>
      </c>
      <c r="L33" s="7">
        <v>1.36070065266866E-2</v>
      </c>
    </row>
    <row r="34" spans="1:12" x14ac:dyDescent="0.3">
      <c r="A34" s="11">
        <v>2022</v>
      </c>
      <c r="B34" s="14" t="s">
        <v>99</v>
      </c>
      <c r="C34" s="14" t="s">
        <v>100</v>
      </c>
      <c r="D34" s="7">
        <v>3057.97</v>
      </c>
      <c r="E34" s="7"/>
      <c r="F34" s="7">
        <v>0.22973412100184101</v>
      </c>
      <c r="G34" s="7">
        <v>1.2708695637955901E-2</v>
      </c>
      <c r="H34" s="7"/>
      <c r="I34" s="7">
        <v>0.70252004999999995</v>
      </c>
      <c r="J34" s="7">
        <v>3.8862809999999998E-2</v>
      </c>
      <c r="K34" s="7">
        <v>10869.027</v>
      </c>
      <c r="L34" s="7">
        <v>0.28134717118652802</v>
      </c>
    </row>
    <row r="35" spans="1:12" x14ac:dyDescent="0.3">
      <c r="A35" s="11">
        <v>2023</v>
      </c>
      <c r="B35" s="14" t="s">
        <v>99</v>
      </c>
      <c r="C35" s="14" t="s">
        <v>100</v>
      </c>
      <c r="D35" s="7">
        <v>1240.28</v>
      </c>
      <c r="E35" s="7"/>
      <c r="F35" s="7">
        <v>0.22863559035056599</v>
      </c>
      <c r="G35" s="7">
        <v>1.2647926274712199E-2</v>
      </c>
      <c r="H35" s="7"/>
      <c r="I35" s="7">
        <v>0.28357215000000002</v>
      </c>
      <c r="J35" s="7">
        <v>1.5686970000000001E-2</v>
      </c>
      <c r="K35" s="7">
        <v>10875.249</v>
      </c>
      <c r="L35" s="7">
        <v>0.114046124369198</v>
      </c>
    </row>
    <row r="36" spans="1:12" x14ac:dyDescent="0.3">
      <c r="A36" s="12">
        <v>2024</v>
      </c>
      <c r="B36" s="5" t="s">
        <v>99</v>
      </c>
      <c r="C36" s="5" t="s">
        <v>100</v>
      </c>
      <c r="D36" s="8">
        <v>334.03</v>
      </c>
      <c r="E36" s="8"/>
      <c r="F36" s="8">
        <v>0.22863560159267099</v>
      </c>
      <c r="G36" s="8">
        <v>1.2647935814148401E-2</v>
      </c>
      <c r="H36" s="8"/>
      <c r="I36" s="8">
        <v>7.6371149999999999E-2</v>
      </c>
      <c r="J36" s="8">
        <v>4.22479E-3</v>
      </c>
      <c r="K36" s="8">
        <v>10881.46</v>
      </c>
      <c r="L36" s="8">
        <v>3.0697167475688E-2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6"/>
  <sheetViews>
    <sheetView workbookViewId="0">
      <pane ySplit="1" topLeftCell="A2" activePane="bottomLeft" state="frozen"/>
      <selection pane="bottomLeft" activeCell="L1" sqref="L1"/>
    </sheetView>
  </sheetViews>
  <sheetFormatPr defaultColWidth="11.5546875" defaultRowHeight="14.4" x14ac:dyDescent="0.3"/>
  <cols>
    <col min="1" max="1" width="4.77734375" customWidth="1"/>
    <col min="2" max="2" width="10.109375" customWidth="1"/>
    <col min="3" max="3" width="4.109375" customWidth="1"/>
    <col min="4" max="4" width="5.88671875" customWidth="1"/>
    <col min="5" max="5" width="6.77734375" customWidth="1"/>
    <col min="6" max="7" width="9.77734375" customWidth="1"/>
    <col min="8" max="8" width="5" customWidth="1"/>
    <col min="9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/>
      <c r="C2" s="13"/>
      <c r="D2" s="6">
        <v>150</v>
      </c>
      <c r="E2" s="6"/>
      <c r="F2" s="6">
        <v>0.17378250000000001</v>
      </c>
      <c r="G2" s="6">
        <v>9.6135000000000005E-3</v>
      </c>
      <c r="H2" s="6"/>
      <c r="I2" s="6">
        <v>2.6067375E-2</v>
      </c>
      <c r="J2" s="6">
        <v>1.442025E-3</v>
      </c>
      <c r="K2" s="6">
        <v>546.25732499829996</v>
      </c>
      <c r="L2" s="6">
        <v>0.274595860111289</v>
      </c>
    </row>
    <row r="3" spans="1:12" x14ac:dyDescent="0.3">
      <c r="A3" s="11">
        <v>1991</v>
      </c>
      <c r="B3" s="14"/>
      <c r="C3" s="14"/>
      <c r="D3" s="7"/>
      <c r="E3" s="7"/>
      <c r="F3" s="7"/>
      <c r="G3" s="7"/>
      <c r="H3" s="7"/>
      <c r="I3" s="7"/>
      <c r="J3" s="7"/>
      <c r="K3" s="7">
        <v>550.75775416445003</v>
      </c>
      <c r="L3" s="7"/>
    </row>
    <row r="4" spans="1:12" x14ac:dyDescent="0.3">
      <c r="A4" s="11">
        <v>1992</v>
      </c>
      <c r="B4" s="14"/>
      <c r="C4" s="14"/>
      <c r="D4" s="7">
        <v>0.2</v>
      </c>
      <c r="E4" s="7"/>
      <c r="F4" s="7">
        <v>0.17378250000000001</v>
      </c>
      <c r="G4" s="7">
        <v>9.6135000000000005E-3</v>
      </c>
      <c r="H4" s="7"/>
      <c r="I4" s="7">
        <v>3.4756499999999998E-5</v>
      </c>
      <c r="J4" s="7">
        <v>1.9226999999999998E-6</v>
      </c>
      <c r="K4" s="7">
        <v>555.25818333258906</v>
      </c>
      <c r="L4" s="7">
        <v>3.6019280040075301E-4</v>
      </c>
    </row>
    <row r="5" spans="1:12" x14ac:dyDescent="0.3">
      <c r="A5" s="11">
        <v>1993</v>
      </c>
      <c r="B5" s="14"/>
      <c r="C5" s="14"/>
      <c r="D5" s="7"/>
      <c r="E5" s="7"/>
      <c r="F5" s="7"/>
      <c r="G5" s="7"/>
      <c r="H5" s="7"/>
      <c r="I5" s="7"/>
      <c r="J5" s="7"/>
      <c r="K5" s="7">
        <v>559.75861249822901</v>
      </c>
      <c r="L5" s="7"/>
    </row>
    <row r="6" spans="1:12" x14ac:dyDescent="0.3">
      <c r="A6" s="11">
        <v>1994</v>
      </c>
      <c r="B6" s="14"/>
      <c r="C6" s="14"/>
      <c r="D6" s="7">
        <v>0.2</v>
      </c>
      <c r="E6" s="7"/>
      <c r="F6" s="7">
        <v>0.17378250000000001</v>
      </c>
      <c r="G6" s="7">
        <v>9.6135000000000005E-3</v>
      </c>
      <c r="H6" s="7"/>
      <c r="I6" s="7">
        <v>3.4756499999999998E-5</v>
      </c>
      <c r="J6" s="7">
        <v>1.9226999999999998E-6</v>
      </c>
      <c r="K6" s="7">
        <v>564.25904166567796</v>
      </c>
      <c r="L6" s="7">
        <v>3.5444713373064502E-4</v>
      </c>
    </row>
    <row r="7" spans="1:12" x14ac:dyDescent="0.3">
      <c r="A7" s="11">
        <v>1995</v>
      </c>
      <c r="B7" s="14"/>
      <c r="C7" s="14"/>
      <c r="D7" s="7">
        <v>0.5</v>
      </c>
      <c r="E7" s="7"/>
      <c r="F7" s="7">
        <v>0.17378250000000001</v>
      </c>
      <c r="G7" s="7">
        <v>9.6135000000000005E-3</v>
      </c>
      <c r="H7" s="7"/>
      <c r="I7" s="7">
        <v>8.6891249999999996E-5</v>
      </c>
      <c r="J7" s="7">
        <v>4.8067500000000002E-6</v>
      </c>
      <c r="K7" s="7">
        <v>568.75947082822699</v>
      </c>
      <c r="L7" s="7">
        <v>8.7910624023877901E-4</v>
      </c>
    </row>
    <row r="8" spans="1:12" x14ac:dyDescent="0.3">
      <c r="A8" s="11">
        <v>1996</v>
      </c>
      <c r="B8" s="14"/>
      <c r="C8" s="14"/>
      <c r="D8" s="7"/>
      <c r="E8" s="7"/>
      <c r="F8" s="7"/>
      <c r="G8" s="7"/>
      <c r="H8" s="7"/>
      <c r="I8" s="7"/>
      <c r="J8" s="7"/>
      <c r="K8" s="7">
        <v>573.25989999686703</v>
      </c>
      <c r="L8" s="7"/>
    </row>
    <row r="9" spans="1:12" x14ac:dyDescent="0.3">
      <c r="A9" s="11">
        <v>1997</v>
      </c>
      <c r="B9" s="14"/>
      <c r="C9" s="14"/>
      <c r="D9" s="7"/>
      <c r="E9" s="7"/>
      <c r="F9" s="7"/>
      <c r="G9" s="7"/>
      <c r="H9" s="7"/>
      <c r="I9" s="7"/>
      <c r="J9" s="7"/>
      <c r="K9" s="7">
        <v>577.76032916477402</v>
      </c>
      <c r="L9" s="7"/>
    </row>
    <row r="10" spans="1:12" x14ac:dyDescent="0.3">
      <c r="A10" s="11">
        <v>1998</v>
      </c>
      <c r="B10" s="14"/>
      <c r="C10" s="14"/>
      <c r="D10" s="7">
        <v>5</v>
      </c>
      <c r="E10" s="7"/>
      <c r="F10" s="7">
        <v>0.17378250000000001</v>
      </c>
      <c r="G10" s="7">
        <v>9.6135000000000005E-3</v>
      </c>
      <c r="H10" s="7"/>
      <c r="I10" s="7">
        <v>8.6891249999999996E-4</v>
      </c>
      <c r="J10" s="7">
        <v>4.80675E-5</v>
      </c>
      <c r="K10" s="7">
        <v>582.26075833180903</v>
      </c>
      <c r="L10" s="7">
        <v>8.5872178889834904E-3</v>
      </c>
    </row>
    <row r="11" spans="1:12" x14ac:dyDescent="0.3">
      <c r="A11" s="11">
        <v>1999</v>
      </c>
      <c r="B11" s="14"/>
      <c r="C11" s="14"/>
      <c r="D11" s="7"/>
      <c r="E11" s="7"/>
      <c r="F11" s="7"/>
      <c r="G11" s="7"/>
      <c r="H11" s="7"/>
      <c r="I11" s="7"/>
      <c r="J11" s="7"/>
      <c r="K11" s="7">
        <v>586.76118749952605</v>
      </c>
      <c r="L11" s="7"/>
    </row>
    <row r="12" spans="1:12" x14ac:dyDescent="0.3">
      <c r="A12" s="11">
        <v>2000</v>
      </c>
      <c r="B12" s="14"/>
      <c r="C12" s="14"/>
      <c r="D12" s="7"/>
      <c r="E12" s="7"/>
      <c r="F12" s="7"/>
      <c r="G12" s="7"/>
      <c r="H12" s="7"/>
      <c r="I12" s="7"/>
      <c r="J12" s="7"/>
      <c r="K12" s="7">
        <v>591.26361666775199</v>
      </c>
      <c r="L12" s="7"/>
    </row>
    <row r="13" spans="1:12" x14ac:dyDescent="0.3">
      <c r="A13" s="11">
        <v>2001</v>
      </c>
      <c r="B13" s="14"/>
      <c r="C13" s="14"/>
      <c r="D13" s="7"/>
      <c r="E13" s="7"/>
      <c r="F13" s="7"/>
      <c r="G13" s="7"/>
      <c r="H13" s="7"/>
      <c r="I13" s="7"/>
      <c r="J13" s="7"/>
      <c r="K13" s="7">
        <v>595.76504583637802</v>
      </c>
      <c r="L13" s="7"/>
    </row>
    <row r="14" spans="1:12" x14ac:dyDescent="0.3">
      <c r="A14" s="11">
        <v>2002</v>
      </c>
      <c r="B14" s="14"/>
      <c r="C14" s="14"/>
      <c r="D14" s="7"/>
      <c r="E14" s="7"/>
      <c r="F14" s="7"/>
      <c r="G14" s="7"/>
      <c r="H14" s="7"/>
      <c r="I14" s="7"/>
      <c r="J14" s="7"/>
      <c r="K14" s="7">
        <v>600.26647500341096</v>
      </c>
      <c r="L14" s="7"/>
    </row>
    <row r="15" spans="1:12" x14ac:dyDescent="0.3">
      <c r="A15" s="11">
        <v>2003</v>
      </c>
      <c r="B15" s="14"/>
      <c r="C15" s="14"/>
      <c r="D15" s="7"/>
      <c r="E15" s="7"/>
      <c r="F15" s="7"/>
      <c r="G15" s="7"/>
      <c r="H15" s="7"/>
      <c r="I15" s="7"/>
      <c r="J15" s="7"/>
      <c r="K15" s="7">
        <v>604.767904161827</v>
      </c>
      <c r="L15" s="7"/>
    </row>
    <row r="16" spans="1:12" x14ac:dyDescent="0.3">
      <c r="A16" s="11">
        <v>2004</v>
      </c>
      <c r="B16" s="14"/>
      <c r="C16" s="14"/>
      <c r="D16" s="7">
        <v>155</v>
      </c>
      <c r="E16" s="7"/>
      <c r="F16" s="7">
        <v>0.17378250000000001</v>
      </c>
      <c r="G16" s="7">
        <v>9.6135000000000005E-3</v>
      </c>
      <c r="H16" s="7"/>
      <c r="I16" s="7">
        <v>2.6936287499999999E-2</v>
      </c>
      <c r="J16" s="7">
        <v>1.4900925000000001E-3</v>
      </c>
      <c r="K16" s="7">
        <v>609.27133332916299</v>
      </c>
      <c r="L16" s="7">
        <v>0.254402253185052</v>
      </c>
    </row>
    <row r="17" spans="1:12" x14ac:dyDescent="0.3">
      <c r="A17" s="11">
        <v>2005</v>
      </c>
      <c r="B17" s="14"/>
      <c r="C17" s="14"/>
      <c r="D17" s="7"/>
      <c r="E17" s="7"/>
      <c r="F17" s="7"/>
      <c r="G17" s="7"/>
      <c r="H17" s="7"/>
      <c r="I17" s="7"/>
      <c r="J17" s="7"/>
      <c r="K17" s="7">
        <v>613.77476249903998</v>
      </c>
      <c r="L17" s="7"/>
    </row>
    <row r="18" spans="1:12" x14ac:dyDescent="0.3">
      <c r="A18" s="11">
        <v>2006</v>
      </c>
      <c r="B18" s="14"/>
      <c r="C18" s="14"/>
      <c r="D18" s="7">
        <v>6</v>
      </c>
      <c r="E18" s="7"/>
      <c r="F18" s="7">
        <v>0.17378250000000001</v>
      </c>
      <c r="G18" s="7">
        <v>9.6135000000000005E-3</v>
      </c>
      <c r="H18" s="7"/>
      <c r="I18" s="7">
        <v>1.042695E-3</v>
      </c>
      <c r="J18" s="7">
        <v>5.7680999999999999E-5</v>
      </c>
      <c r="K18" s="7">
        <v>618.35681458636702</v>
      </c>
      <c r="L18" s="7">
        <v>9.7031355658521203E-3</v>
      </c>
    </row>
    <row r="19" spans="1:12" x14ac:dyDescent="0.3">
      <c r="A19" s="11">
        <v>2007</v>
      </c>
      <c r="B19" s="14"/>
      <c r="C19" s="14"/>
      <c r="D19" s="7"/>
      <c r="E19" s="7"/>
      <c r="F19" s="7"/>
      <c r="G19" s="7"/>
      <c r="H19" s="7"/>
      <c r="I19" s="7"/>
      <c r="J19" s="7"/>
      <c r="K19" s="7">
        <v>622.93886667021297</v>
      </c>
      <c r="L19" s="7"/>
    </row>
    <row r="20" spans="1:12" x14ac:dyDescent="0.3">
      <c r="A20" s="11">
        <v>2008</v>
      </c>
      <c r="B20" s="14"/>
      <c r="C20" s="14"/>
      <c r="D20" s="7"/>
      <c r="E20" s="7"/>
      <c r="F20" s="7"/>
      <c r="G20" s="7"/>
      <c r="H20" s="7"/>
      <c r="I20" s="7"/>
      <c r="J20" s="7"/>
      <c r="K20" s="7">
        <v>627.52391875052001</v>
      </c>
      <c r="L20" s="7"/>
    </row>
    <row r="21" spans="1:12" x14ac:dyDescent="0.3">
      <c r="A21" s="11">
        <v>2009</v>
      </c>
      <c r="B21" s="14"/>
      <c r="C21" s="14"/>
      <c r="D21" s="7"/>
      <c r="E21" s="7"/>
      <c r="F21" s="7"/>
      <c r="G21" s="7"/>
      <c r="H21" s="7"/>
      <c r="I21" s="7"/>
      <c r="J21" s="7"/>
      <c r="K21" s="7">
        <v>632.10597083539699</v>
      </c>
      <c r="L21" s="7"/>
    </row>
    <row r="22" spans="1:12" x14ac:dyDescent="0.3">
      <c r="A22" s="11">
        <v>2010</v>
      </c>
      <c r="B22" s="14"/>
      <c r="C22" s="14"/>
      <c r="D22" s="7"/>
      <c r="E22" s="7"/>
      <c r="F22" s="7"/>
      <c r="G22" s="7"/>
      <c r="H22" s="7"/>
      <c r="I22" s="7"/>
      <c r="J22" s="7"/>
      <c r="K22" s="7">
        <v>636.68802291802297</v>
      </c>
      <c r="L22" s="7"/>
    </row>
    <row r="23" spans="1:12" x14ac:dyDescent="0.3">
      <c r="A23" s="11">
        <v>2011</v>
      </c>
      <c r="B23" s="14"/>
      <c r="C23" s="14"/>
      <c r="D23" s="7"/>
      <c r="E23" s="7"/>
      <c r="F23" s="7"/>
      <c r="G23" s="7"/>
      <c r="H23" s="7"/>
      <c r="I23" s="7"/>
      <c r="J23" s="7"/>
      <c r="K23" s="7">
        <v>641.27007500029003</v>
      </c>
      <c r="L23" s="7"/>
    </row>
    <row r="24" spans="1:12" x14ac:dyDescent="0.3">
      <c r="A24" s="11">
        <v>2012</v>
      </c>
      <c r="B24" s="14"/>
      <c r="C24" s="14"/>
      <c r="D24" s="7"/>
      <c r="E24" s="7"/>
      <c r="F24" s="7"/>
      <c r="G24" s="7"/>
      <c r="H24" s="7"/>
      <c r="I24" s="7"/>
      <c r="J24" s="7"/>
      <c r="K24" s="7">
        <v>643.47419999691999</v>
      </c>
      <c r="L24" s="7"/>
    </row>
    <row r="25" spans="1:12" x14ac:dyDescent="0.3">
      <c r="A25" s="11">
        <v>2013</v>
      </c>
      <c r="B25" s="14"/>
      <c r="C25" s="14"/>
      <c r="D25" s="7">
        <v>2</v>
      </c>
      <c r="E25" s="7"/>
      <c r="F25" s="7">
        <v>0.17378250000000001</v>
      </c>
      <c r="G25" s="7">
        <v>9.6135000000000005E-3</v>
      </c>
      <c r="H25" s="7"/>
      <c r="I25" s="7">
        <v>3.4756499999999998E-4</v>
      </c>
      <c r="J25" s="7">
        <v>1.9227000000000001E-5</v>
      </c>
      <c r="K25" s="7">
        <v>648.37945000053003</v>
      </c>
      <c r="L25" s="7">
        <v>3.08461349291432E-3</v>
      </c>
    </row>
    <row r="26" spans="1:12" x14ac:dyDescent="0.3">
      <c r="A26" s="11">
        <v>2014</v>
      </c>
      <c r="B26" s="14"/>
      <c r="C26" s="14"/>
      <c r="D26" s="7">
        <v>2</v>
      </c>
      <c r="E26" s="7"/>
      <c r="F26" s="7">
        <v>0.17378250000000001</v>
      </c>
      <c r="G26" s="7">
        <v>9.6135000000000005E-3</v>
      </c>
      <c r="H26" s="7"/>
      <c r="I26" s="7">
        <v>3.4756499999999998E-4</v>
      </c>
      <c r="J26" s="7">
        <v>1.9227000000000001E-5</v>
      </c>
      <c r="K26" s="7">
        <v>649.25419999594999</v>
      </c>
      <c r="L26" s="7">
        <v>3.0804575465395198E-3</v>
      </c>
    </row>
    <row r="27" spans="1:12" x14ac:dyDescent="0.3">
      <c r="A27" s="11">
        <v>2015</v>
      </c>
      <c r="B27" s="14"/>
      <c r="C27" s="14"/>
      <c r="D27" s="7"/>
      <c r="E27" s="7"/>
      <c r="F27" s="7"/>
      <c r="G27" s="7"/>
      <c r="H27" s="7"/>
      <c r="I27" s="7"/>
      <c r="J27" s="7"/>
      <c r="K27" s="7">
        <v>651.961324997421</v>
      </c>
      <c r="L27" s="7"/>
    </row>
    <row r="28" spans="1:12" x14ac:dyDescent="0.3">
      <c r="A28" s="11">
        <v>2016</v>
      </c>
      <c r="B28" s="14"/>
      <c r="C28" s="14"/>
      <c r="D28" s="7"/>
      <c r="E28" s="7"/>
      <c r="F28" s="7"/>
      <c r="G28" s="7"/>
      <c r="H28" s="7"/>
      <c r="I28" s="7"/>
      <c r="J28" s="7"/>
      <c r="K28" s="7">
        <v>653.16563750140006</v>
      </c>
      <c r="L28" s="7"/>
    </row>
    <row r="29" spans="1:12" x14ac:dyDescent="0.3">
      <c r="A29" s="11">
        <v>2017</v>
      </c>
      <c r="B29" s="14"/>
      <c r="C29" s="14"/>
      <c r="D29" s="7"/>
      <c r="E29" s="7"/>
      <c r="F29" s="7"/>
      <c r="G29" s="7"/>
      <c r="H29" s="7"/>
      <c r="I29" s="7"/>
      <c r="J29" s="7"/>
      <c r="K29" s="7">
        <v>654.72801250023997</v>
      </c>
      <c r="L29" s="7"/>
    </row>
    <row r="30" spans="1:12" x14ac:dyDescent="0.3">
      <c r="A30" s="11">
        <v>2018</v>
      </c>
      <c r="B30" s="14"/>
      <c r="C30" s="14"/>
      <c r="D30" s="7"/>
      <c r="E30" s="7"/>
      <c r="F30" s="7"/>
      <c r="G30" s="7"/>
      <c r="H30" s="7"/>
      <c r="I30" s="7"/>
      <c r="J30" s="7"/>
      <c r="K30" s="7">
        <v>656.23038749905004</v>
      </c>
      <c r="L30" s="7"/>
    </row>
    <row r="31" spans="1:12" x14ac:dyDescent="0.3">
      <c r="A31" s="11">
        <v>2019</v>
      </c>
      <c r="B31" s="14"/>
      <c r="C31" s="14"/>
      <c r="D31" s="7"/>
      <c r="E31" s="7"/>
      <c r="F31" s="7"/>
      <c r="G31" s="7"/>
      <c r="H31" s="7"/>
      <c r="I31" s="7"/>
      <c r="J31" s="7"/>
      <c r="K31" s="7">
        <v>657.60882499811703</v>
      </c>
      <c r="L31" s="7"/>
    </row>
    <row r="32" spans="1:12" x14ac:dyDescent="0.3">
      <c r="A32" s="11">
        <v>2020</v>
      </c>
      <c r="B32" s="14"/>
      <c r="C32" s="14"/>
      <c r="D32" s="7"/>
      <c r="E32" s="7"/>
      <c r="F32" s="7"/>
      <c r="G32" s="7"/>
      <c r="H32" s="7"/>
      <c r="I32" s="7"/>
      <c r="J32" s="7"/>
      <c r="K32" s="7">
        <v>659.41776249870202</v>
      </c>
      <c r="L32" s="7"/>
    </row>
    <row r="33" spans="1:12" x14ac:dyDescent="0.3">
      <c r="A33" s="11">
        <v>2021</v>
      </c>
      <c r="B33" s="14"/>
      <c r="C33" s="14"/>
      <c r="D33" s="7"/>
      <c r="E33" s="7"/>
      <c r="F33" s="7"/>
      <c r="G33" s="7"/>
      <c r="H33" s="7"/>
      <c r="I33" s="7"/>
      <c r="J33" s="7"/>
      <c r="K33" s="7">
        <v>664.43393750164796</v>
      </c>
      <c r="L33" s="7"/>
    </row>
    <row r="34" spans="1:12" x14ac:dyDescent="0.3">
      <c r="A34" s="11">
        <v>2022</v>
      </c>
      <c r="B34" s="14"/>
      <c r="C34" s="14"/>
      <c r="D34" s="7"/>
      <c r="E34" s="7"/>
      <c r="F34" s="7"/>
      <c r="G34" s="7"/>
      <c r="H34" s="7"/>
      <c r="I34" s="7"/>
      <c r="J34" s="7"/>
      <c r="K34" s="7">
        <v>665.82464999470199</v>
      </c>
      <c r="L34" s="7"/>
    </row>
    <row r="35" spans="1:12" x14ac:dyDescent="0.3">
      <c r="A35" s="11">
        <v>2023</v>
      </c>
      <c r="B35" s="14"/>
      <c r="C35" s="14"/>
      <c r="D35" s="7"/>
      <c r="E35" s="7"/>
      <c r="F35" s="7"/>
      <c r="G35" s="7"/>
      <c r="H35" s="7"/>
      <c r="I35" s="7"/>
      <c r="J35" s="7"/>
      <c r="K35" s="7">
        <v>666.41461250033296</v>
      </c>
      <c r="L35" s="7"/>
    </row>
    <row r="36" spans="1:12" x14ac:dyDescent="0.3">
      <c r="A36" s="12">
        <v>2024</v>
      </c>
      <c r="B36" s="5"/>
      <c r="C36" s="5"/>
      <c r="D36" s="8"/>
      <c r="E36" s="8"/>
      <c r="F36" s="8"/>
      <c r="G36" s="8"/>
      <c r="H36" s="8"/>
      <c r="I36" s="8"/>
      <c r="J36" s="8"/>
      <c r="K36" s="8">
        <v>666.66020000305605</v>
      </c>
      <c r="L36" s="8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.77734375" customWidth="1"/>
    <col min="2" max="2" width="10.109375" customWidth="1"/>
    <col min="3" max="3" width="4.109375" customWidth="1"/>
    <col min="4" max="4" width="11.77734375" customWidth="1"/>
    <col min="5" max="7" width="6.77734375" customWidth="1"/>
    <col min="8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101</v>
      </c>
      <c r="C2" s="13" t="s">
        <v>101</v>
      </c>
      <c r="D2" s="6">
        <v>73198.100000000006</v>
      </c>
      <c r="E2" s="6"/>
      <c r="F2" s="6"/>
      <c r="G2" s="6"/>
      <c r="H2" s="6">
        <v>351.99414163753602</v>
      </c>
      <c r="I2" s="6">
        <v>5.2600453605959796</v>
      </c>
      <c r="J2" s="6">
        <v>0.29098123271381998</v>
      </c>
      <c r="K2" s="6">
        <v>14200.430869318199</v>
      </c>
      <c r="L2" s="6">
        <v>5.1546393678908498</v>
      </c>
    </row>
    <row r="3" spans="1:12" x14ac:dyDescent="0.3">
      <c r="A3" s="11">
        <v>1991</v>
      </c>
      <c r="B3" s="14" t="s">
        <v>101</v>
      </c>
      <c r="C3" s="14" t="s">
        <v>101</v>
      </c>
      <c r="D3" s="7">
        <v>116895.6</v>
      </c>
      <c r="E3" s="7"/>
      <c r="F3" s="7"/>
      <c r="G3" s="7"/>
      <c r="H3" s="7">
        <v>438.31743600353099</v>
      </c>
      <c r="I3" s="7">
        <v>8.8952835535086692</v>
      </c>
      <c r="J3" s="7">
        <v>0.492079515726011</v>
      </c>
      <c r="K3" s="7">
        <v>14326.377988636399</v>
      </c>
      <c r="L3" s="7">
        <v>8.1594664117281397</v>
      </c>
    </row>
    <row r="4" spans="1:12" x14ac:dyDescent="0.3">
      <c r="A4" s="11">
        <v>1992</v>
      </c>
      <c r="B4" s="14" t="s">
        <v>101</v>
      </c>
      <c r="C4" s="14" t="s">
        <v>101</v>
      </c>
      <c r="D4" s="7">
        <v>40438.1</v>
      </c>
      <c r="E4" s="7"/>
      <c r="F4" s="7"/>
      <c r="G4" s="7"/>
      <c r="H4" s="7">
        <v>169.254013687775</v>
      </c>
      <c r="I4" s="7">
        <v>3.15429120872626</v>
      </c>
      <c r="J4" s="7">
        <v>0.17449270516358001</v>
      </c>
      <c r="K4" s="7">
        <v>14452.325107954501</v>
      </c>
      <c r="L4" s="7">
        <v>2.7980342054264402</v>
      </c>
    </row>
    <row r="5" spans="1:12" x14ac:dyDescent="0.3">
      <c r="A5" s="11">
        <v>1993</v>
      </c>
      <c r="B5" s="14" t="s">
        <v>101</v>
      </c>
      <c r="C5" s="14" t="s">
        <v>101</v>
      </c>
      <c r="D5" s="7">
        <v>33420.9</v>
      </c>
      <c r="E5" s="7"/>
      <c r="F5" s="7"/>
      <c r="G5" s="7"/>
      <c r="H5" s="7">
        <v>129.97441974755799</v>
      </c>
      <c r="I5" s="7">
        <v>2.2844715580194999</v>
      </c>
      <c r="J5" s="7">
        <v>0.12637502235852599</v>
      </c>
      <c r="K5" s="7">
        <v>14578.272227272701</v>
      </c>
      <c r="L5" s="7">
        <v>2.2925144680366798</v>
      </c>
    </row>
    <row r="6" spans="1:12" x14ac:dyDescent="0.3">
      <c r="A6" s="11">
        <v>1994</v>
      </c>
      <c r="B6" s="14" t="s">
        <v>101</v>
      </c>
      <c r="C6" s="14" t="s">
        <v>101</v>
      </c>
      <c r="D6" s="7">
        <v>250433.4</v>
      </c>
      <c r="E6" s="7"/>
      <c r="F6" s="7"/>
      <c r="G6" s="7"/>
      <c r="H6" s="7">
        <v>774.53066059094101</v>
      </c>
      <c r="I6" s="7">
        <v>15.1630833526483</v>
      </c>
      <c r="J6" s="7">
        <v>0.83880886631671703</v>
      </c>
      <c r="K6" s="7">
        <v>14704.2193465909</v>
      </c>
      <c r="L6" s="7">
        <v>17.0313971858738</v>
      </c>
    </row>
    <row r="7" spans="1:12" x14ac:dyDescent="0.3">
      <c r="A7" s="11">
        <v>1995</v>
      </c>
      <c r="B7" s="14" t="s">
        <v>101</v>
      </c>
      <c r="C7" s="14" t="s">
        <v>101</v>
      </c>
      <c r="D7" s="7">
        <v>42380.33</v>
      </c>
      <c r="E7" s="7"/>
      <c r="F7" s="7"/>
      <c r="G7" s="7"/>
      <c r="H7" s="7">
        <v>207.151803197639</v>
      </c>
      <c r="I7" s="7">
        <v>3.25143076761786</v>
      </c>
      <c r="J7" s="7">
        <v>0.17986638288949899</v>
      </c>
      <c r="K7" s="7">
        <v>14830.1664659091</v>
      </c>
      <c r="L7" s="7">
        <v>2.8577110106903998</v>
      </c>
    </row>
    <row r="8" spans="1:12" x14ac:dyDescent="0.3">
      <c r="A8" s="11">
        <v>1996</v>
      </c>
      <c r="B8" s="14" t="s">
        <v>101</v>
      </c>
      <c r="C8" s="14" t="s">
        <v>101</v>
      </c>
      <c r="D8" s="7">
        <v>10530.94</v>
      </c>
      <c r="E8" s="7"/>
      <c r="F8" s="7"/>
      <c r="G8" s="7"/>
      <c r="H8" s="7">
        <v>59.298057480337199</v>
      </c>
      <c r="I8" s="7">
        <v>0.892176529003746</v>
      </c>
      <c r="J8" s="7">
        <v>4.9354446285313602E-2</v>
      </c>
      <c r="K8" s="7">
        <v>14956.1135852273</v>
      </c>
      <c r="L8" s="7">
        <v>0.70412276157101406</v>
      </c>
    </row>
    <row r="9" spans="1:12" x14ac:dyDescent="0.3">
      <c r="A9" s="11">
        <v>1997</v>
      </c>
      <c r="B9" s="14" t="s">
        <v>101</v>
      </c>
      <c r="C9" s="14" t="s">
        <v>101</v>
      </c>
      <c r="D9" s="7">
        <v>21326.23</v>
      </c>
      <c r="E9" s="7"/>
      <c r="F9" s="7"/>
      <c r="G9" s="7"/>
      <c r="H9" s="7">
        <v>141.49071057981601</v>
      </c>
      <c r="I9" s="7">
        <v>2.0031599049925601</v>
      </c>
      <c r="J9" s="7">
        <v>0.110813101127248</v>
      </c>
      <c r="K9" s="7">
        <v>15082.0607045455</v>
      </c>
      <c r="L9" s="7">
        <v>1.41401300643039</v>
      </c>
    </row>
    <row r="10" spans="1:12" x14ac:dyDescent="0.3">
      <c r="A10" s="11">
        <v>1998</v>
      </c>
      <c r="B10" s="14" t="s">
        <v>101</v>
      </c>
      <c r="C10" s="14" t="s">
        <v>101</v>
      </c>
      <c r="D10" s="7">
        <v>42959.34</v>
      </c>
      <c r="E10" s="7"/>
      <c r="F10" s="7"/>
      <c r="G10" s="7"/>
      <c r="H10" s="7">
        <v>205.01051855542099</v>
      </c>
      <c r="I10" s="7">
        <v>3.0697752505131701</v>
      </c>
      <c r="J10" s="7">
        <v>0.16981735428370701</v>
      </c>
      <c r="K10" s="7">
        <v>15208.0078238636</v>
      </c>
      <c r="L10" s="7">
        <v>2.82478418590701</v>
      </c>
    </row>
    <row r="11" spans="1:12" x14ac:dyDescent="0.3">
      <c r="A11" s="11">
        <v>1999</v>
      </c>
      <c r="B11" s="14" t="s">
        <v>101</v>
      </c>
      <c r="C11" s="14" t="s">
        <v>101</v>
      </c>
      <c r="D11" s="7">
        <v>24034.25</v>
      </c>
      <c r="E11" s="7"/>
      <c r="F11" s="7"/>
      <c r="G11" s="7"/>
      <c r="H11" s="7">
        <v>122.567405640516</v>
      </c>
      <c r="I11" s="7">
        <v>1.86269637366685</v>
      </c>
      <c r="J11" s="7">
        <v>0.10304277811774</v>
      </c>
      <c r="K11" s="7">
        <v>15333.9549431818</v>
      </c>
      <c r="L11" s="7">
        <v>1.5673875454216599</v>
      </c>
    </row>
    <row r="12" spans="1:12" x14ac:dyDescent="0.3">
      <c r="A12" s="11">
        <v>2000</v>
      </c>
      <c r="B12" s="14" t="s">
        <v>101</v>
      </c>
      <c r="C12" s="14" t="s">
        <v>101</v>
      </c>
      <c r="D12" s="7">
        <v>46138.17</v>
      </c>
      <c r="E12" s="7"/>
      <c r="F12" s="7"/>
      <c r="G12" s="7"/>
      <c r="H12" s="7">
        <v>218.122024222227</v>
      </c>
      <c r="I12" s="7">
        <v>3.3561323531898801</v>
      </c>
      <c r="J12" s="7">
        <v>0.18565838549561001</v>
      </c>
      <c r="K12" s="7">
        <v>15459.902062499999</v>
      </c>
      <c r="L12" s="7">
        <v>2.9843766030002299</v>
      </c>
    </row>
    <row r="13" spans="1:12" x14ac:dyDescent="0.3">
      <c r="A13" s="11">
        <v>2001</v>
      </c>
      <c r="B13" s="14" t="s">
        <v>101</v>
      </c>
      <c r="C13" s="14" t="s">
        <v>101</v>
      </c>
      <c r="D13" s="7">
        <v>19363.349999999999</v>
      </c>
      <c r="E13" s="7"/>
      <c r="F13" s="7"/>
      <c r="G13" s="7"/>
      <c r="H13" s="7">
        <v>96.905004670650399</v>
      </c>
      <c r="I13" s="7">
        <v>1.55352632835342</v>
      </c>
      <c r="J13" s="7">
        <v>8.5939754334444798E-2</v>
      </c>
      <c r="K13" s="7">
        <v>15617.650374999999</v>
      </c>
      <c r="L13" s="7">
        <v>1.23983758984616</v>
      </c>
    </row>
    <row r="14" spans="1:12" x14ac:dyDescent="0.3">
      <c r="A14" s="11">
        <v>2002</v>
      </c>
      <c r="B14" s="14" t="s">
        <v>101</v>
      </c>
      <c r="C14" s="14" t="s">
        <v>101</v>
      </c>
      <c r="D14" s="7">
        <v>25196.91</v>
      </c>
      <c r="E14" s="7"/>
      <c r="F14" s="7"/>
      <c r="G14" s="7"/>
      <c r="H14" s="7">
        <v>147.65928175437799</v>
      </c>
      <c r="I14" s="7">
        <v>2.1641637843609001</v>
      </c>
      <c r="J14" s="7">
        <v>0.119719698709327</v>
      </c>
      <c r="K14" s="7">
        <v>15775.398687499999</v>
      </c>
      <c r="L14" s="7">
        <v>1.59722809541196</v>
      </c>
    </row>
    <row r="15" spans="1:12" x14ac:dyDescent="0.3">
      <c r="A15" s="11">
        <v>2003</v>
      </c>
      <c r="B15" s="14" t="s">
        <v>101</v>
      </c>
      <c r="C15" s="14" t="s">
        <v>101</v>
      </c>
      <c r="D15" s="7">
        <v>53673.03</v>
      </c>
      <c r="E15" s="7"/>
      <c r="F15" s="7"/>
      <c r="G15" s="7"/>
      <c r="H15" s="7">
        <v>254.463322881209</v>
      </c>
      <c r="I15" s="7">
        <v>4.4882425519321503</v>
      </c>
      <c r="J15" s="7">
        <v>0.249605862550076</v>
      </c>
      <c r="K15" s="7">
        <v>15933.147000000001</v>
      </c>
      <c r="L15" s="7">
        <v>3.36863960396524</v>
      </c>
    </row>
    <row r="16" spans="1:12" x14ac:dyDescent="0.3">
      <c r="A16" s="11">
        <v>2004</v>
      </c>
      <c r="B16" s="14" t="s">
        <v>101</v>
      </c>
      <c r="C16" s="14" t="s">
        <v>101</v>
      </c>
      <c r="D16" s="7">
        <v>51732.17</v>
      </c>
      <c r="E16" s="7"/>
      <c r="F16" s="7"/>
      <c r="G16" s="7"/>
      <c r="H16" s="7">
        <v>235.502828822108</v>
      </c>
      <c r="I16" s="7">
        <v>5.0998049980800602</v>
      </c>
      <c r="J16" s="7">
        <v>0.28362004550037501</v>
      </c>
      <c r="K16" s="7">
        <v>16090.895312500001</v>
      </c>
      <c r="L16" s="7">
        <v>3.2149963687733698</v>
      </c>
    </row>
    <row r="17" spans="1:12" x14ac:dyDescent="0.3">
      <c r="A17" s="11">
        <v>2005</v>
      </c>
      <c r="B17" s="14" t="s">
        <v>101</v>
      </c>
      <c r="C17" s="14" t="s">
        <v>101</v>
      </c>
      <c r="D17" s="7">
        <v>69396.789999999994</v>
      </c>
      <c r="E17" s="7"/>
      <c r="F17" s="7"/>
      <c r="G17" s="7"/>
      <c r="H17" s="7">
        <v>358.02484963459199</v>
      </c>
      <c r="I17" s="7">
        <v>5.2527872358843499</v>
      </c>
      <c r="J17" s="7">
        <v>0.291541419566964</v>
      </c>
      <c r="K17" s="7">
        <v>16248.643625000001</v>
      </c>
      <c r="L17" s="7">
        <v>4.2709281833978299</v>
      </c>
    </row>
    <row r="18" spans="1:12" x14ac:dyDescent="0.3">
      <c r="A18" s="11">
        <v>2006</v>
      </c>
      <c r="B18" s="14" t="s">
        <v>101</v>
      </c>
      <c r="C18" s="14" t="s">
        <v>101</v>
      </c>
      <c r="D18" s="7">
        <v>71064.87</v>
      </c>
      <c r="E18" s="7"/>
      <c r="F18" s="7"/>
      <c r="G18" s="7"/>
      <c r="H18" s="7">
        <v>407.40043093834998</v>
      </c>
      <c r="I18" s="7">
        <v>6.2477043206700902</v>
      </c>
      <c r="J18" s="7">
        <v>0.346905777659133</v>
      </c>
      <c r="K18" s="7">
        <v>16406.3919375</v>
      </c>
      <c r="L18" s="7">
        <v>4.3315355546009702</v>
      </c>
    </row>
    <row r="19" spans="1:12" x14ac:dyDescent="0.3">
      <c r="A19" s="11">
        <v>2007</v>
      </c>
      <c r="B19" s="14" t="s">
        <v>101</v>
      </c>
      <c r="C19" s="14" t="s">
        <v>101</v>
      </c>
      <c r="D19" s="7">
        <v>29408.86</v>
      </c>
      <c r="E19" s="7"/>
      <c r="F19" s="7"/>
      <c r="G19" s="7"/>
      <c r="H19" s="7">
        <v>113.69085209661399</v>
      </c>
      <c r="I19" s="7">
        <v>1.84271539304604</v>
      </c>
      <c r="J19" s="7">
        <v>0.103138880557557</v>
      </c>
      <c r="K19" s="7">
        <v>16516.3264583333</v>
      </c>
      <c r="L19" s="7">
        <v>1.78059328593386</v>
      </c>
    </row>
    <row r="20" spans="1:12" x14ac:dyDescent="0.3">
      <c r="A20" s="11">
        <v>2008</v>
      </c>
      <c r="B20" s="14" t="s">
        <v>101</v>
      </c>
      <c r="C20" s="14" t="s">
        <v>101</v>
      </c>
      <c r="D20" s="7">
        <v>8443.49</v>
      </c>
      <c r="E20" s="7"/>
      <c r="F20" s="7"/>
      <c r="G20" s="7"/>
      <c r="H20" s="7">
        <v>46.439524541862198</v>
      </c>
      <c r="I20" s="7">
        <v>0.77654408875235603</v>
      </c>
      <c r="J20" s="7">
        <v>4.4242236870917599E-2</v>
      </c>
      <c r="K20" s="7">
        <v>16626.260979166698</v>
      </c>
      <c r="L20" s="7">
        <v>0.50784057886376199</v>
      </c>
    </row>
    <row r="21" spans="1:12" x14ac:dyDescent="0.3">
      <c r="A21" s="11">
        <v>2009</v>
      </c>
      <c r="B21" s="14" t="s">
        <v>101</v>
      </c>
      <c r="C21" s="14" t="s">
        <v>101</v>
      </c>
      <c r="D21" s="7">
        <v>40402.480000000003</v>
      </c>
      <c r="E21" s="7"/>
      <c r="F21" s="7"/>
      <c r="G21" s="7"/>
      <c r="H21" s="7">
        <v>162.42820567447001</v>
      </c>
      <c r="I21" s="7">
        <v>2.7631732376360501</v>
      </c>
      <c r="J21" s="7">
        <v>0.15407018753134299</v>
      </c>
      <c r="K21" s="7">
        <v>16736.195500000002</v>
      </c>
      <c r="L21" s="7">
        <v>2.4140779187241201</v>
      </c>
    </row>
    <row r="22" spans="1:12" x14ac:dyDescent="0.3">
      <c r="A22" s="11">
        <v>2010</v>
      </c>
      <c r="B22" s="14" t="s">
        <v>101</v>
      </c>
      <c r="C22" s="14" t="s">
        <v>101</v>
      </c>
      <c r="D22" s="7">
        <v>10184.91</v>
      </c>
      <c r="E22" s="7"/>
      <c r="F22" s="7"/>
      <c r="G22" s="7"/>
      <c r="H22" s="7">
        <v>50.955074224110298</v>
      </c>
      <c r="I22" s="7">
        <v>0.83660446619738205</v>
      </c>
      <c r="J22" s="7">
        <v>4.73411060987914E-2</v>
      </c>
      <c r="K22" s="7">
        <v>16900.454145833301</v>
      </c>
      <c r="L22" s="7">
        <v>0.60264120195320503</v>
      </c>
    </row>
    <row r="23" spans="1:12" x14ac:dyDescent="0.3">
      <c r="A23" s="11">
        <v>2011</v>
      </c>
      <c r="B23" s="14" t="s">
        <v>101</v>
      </c>
      <c r="C23" s="14" t="s">
        <v>101</v>
      </c>
      <c r="D23" s="7">
        <v>18847.52</v>
      </c>
      <c r="E23" s="7"/>
      <c r="F23" s="7"/>
      <c r="G23" s="7"/>
      <c r="H23" s="7">
        <v>99.6095156866688</v>
      </c>
      <c r="I23" s="7">
        <v>1.5821421719099</v>
      </c>
      <c r="J23" s="7">
        <v>8.9660871662734898E-2</v>
      </c>
      <c r="K23" s="7">
        <v>17064.712791666701</v>
      </c>
      <c r="L23" s="7">
        <v>1.10447332047709</v>
      </c>
    </row>
    <row r="24" spans="1:12" x14ac:dyDescent="0.3">
      <c r="A24" s="11">
        <v>2012</v>
      </c>
      <c r="B24" s="14" t="s">
        <v>101</v>
      </c>
      <c r="C24" s="14" t="s">
        <v>101</v>
      </c>
      <c r="D24" s="7">
        <v>81834.94</v>
      </c>
      <c r="E24" s="7"/>
      <c r="F24" s="7"/>
      <c r="G24" s="7"/>
      <c r="H24" s="7">
        <v>435.49910136800798</v>
      </c>
      <c r="I24" s="7">
        <v>5.9514943292387903</v>
      </c>
      <c r="J24" s="7">
        <v>0.33102248078985003</v>
      </c>
      <c r="K24" s="7">
        <v>17228.9714375</v>
      </c>
      <c r="L24" s="7">
        <v>4.7498447772616803</v>
      </c>
    </row>
    <row r="25" spans="1:12" x14ac:dyDescent="0.3">
      <c r="A25" s="11">
        <v>2013</v>
      </c>
      <c r="B25" s="14" t="s">
        <v>101</v>
      </c>
      <c r="C25" s="14" t="s">
        <v>101</v>
      </c>
      <c r="D25" s="7">
        <v>17704.259999999998</v>
      </c>
      <c r="E25" s="7"/>
      <c r="F25" s="7"/>
      <c r="G25" s="7"/>
      <c r="H25" s="7">
        <v>85.234515171124897</v>
      </c>
      <c r="I25" s="7">
        <v>1.49643299384006</v>
      </c>
      <c r="J25" s="7">
        <v>8.4630323479980105E-2</v>
      </c>
      <c r="K25" s="7">
        <v>17388.940395833299</v>
      </c>
      <c r="L25" s="7">
        <v>1.0181333420547201</v>
      </c>
    </row>
    <row r="26" spans="1:12" x14ac:dyDescent="0.3">
      <c r="A26" s="11">
        <v>2014</v>
      </c>
      <c r="B26" s="14" t="s">
        <v>101</v>
      </c>
      <c r="C26" s="14" t="s">
        <v>101</v>
      </c>
      <c r="D26" s="7">
        <v>8286.7900000000009</v>
      </c>
      <c r="E26" s="7"/>
      <c r="F26" s="7"/>
      <c r="G26" s="7"/>
      <c r="H26" s="7">
        <v>37.2027497981965</v>
      </c>
      <c r="I26" s="7">
        <v>0.78685549214954997</v>
      </c>
      <c r="J26" s="7">
        <v>4.6395666063234697E-2</v>
      </c>
      <c r="K26" s="7">
        <v>17548.909354166699</v>
      </c>
      <c r="L26" s="7">
        <v>0.472211111970468</v>
      </c>
    </row>
    <row r="27" spans="1:12" x14ac:dyDescent="0.3">
      <c r="A27" s="11">
        <v>2015</v>
      </c>
      <c r="B27" s="14" t="s">
        <v>101</v>
      </c>
      <c r="C27" s="14" t="s">
        <v>101</v>
      </c>
      <c r="D27" s="7">
        <v>32829.86</v>
      </c>
      <c r="E27" s="7"/>
      <c r="F27" s="7"/>
      <c r="G27" s="7"/>
      <c r="H27" s="7">
        <v>150.78727720258701</v>
      </c>
      <c r="I27" s="7">
        <v>2.72821258084991</v>
      </c>
      <c r="J27" s="7">
        <v>0.15288943795224999</v>
      </c>
      <c r="K27" s="7">
        <v>17708.878312500001</v>
      </c>
      <c r="L27" s="7">
        <v>1.8538644526585699</v>
      </c>
    </row>
    <row r="28" spans="1:12" x14ac:dyDescent="0.3">
      <c r="A28" s="11">
        <v>2016</v>
      </c>
      <c r="B28" s="14" t="s">
        <v>101</v>
      </c>
      <c r="C28" s="14" t="s">
        <v>101</v>
      </c>
      <c r="D28" s="7">
        <v>23199.24</v>
      </c>
      <c r="E28" s="7"/>
      <c r="F28" s="7"/>
      <c r="G28" s="7"/>
      <c r="H28" s="7">
        <v>91.957171705454797</v>
      </c>
      <c r="I28" s="7">
        <v>1.7726998406526699</v>
      </c>
      <c r="J28" s="7">
        <v>9.9000270706669002E-2</v>
      </c>
      <c r="K28" s="7">
        <v>17797.577874999999</v>
      </c>
      <c r="L28" s="7">
        <v>1.3035054636612999</v>
      </c>
    </row>
    <row r="29" spans="1:12" x14ac:dyDescent="0.3">
      <c r="A29" s="11">
        <v>2017</v>
      </c>
      <c r="B29" s="14" t="s">
        <v>101</v>
      </c>
      <c r="C29" s="14" t="s">
        <v>101</v>
      </c>
      <c r="D29" s="7">
        <v>66803.153000000006</v>
      </c>
      <c r="E29" s="7"/>
      <c r="F29" s="7"/>
      <c r="G29" s="7"/>
      <c r="H29" s="7">
        <v>275.44471264067101</v>
      </c>
      <c r="I29" s="7">
        <v>5.5871153198923196</v>
      </c>
      <c r="J29" s="7">
        <v>0.30907446450468201</v>
      </c>
      <c r="K29" s="7">
        <v>17886.277437500001</v>
      </c>
      <c r="L29" s="7">
        <v>3.7348829701110402</v>
      </c>
    </row>
    <row r="30" spans="1:12" x14ac:dyDescent="0.3">
      <c r="A30" s="11">
        <v>2018</v>
      </c>
      <c r="B30" s="14" t="s">
        <v>101</v>
      </c>
      <c r="C30" s="14" t="s">
        <v>101</v>
      </c>
      <c r="D30" s="7">
        <v>4359.3526999999904</v>
      </c>
      <c r="E30" s="7"/>
      <c r="F30" s="7"/>
      <c r="G30" s="7"/>
      <c r="H30" s="7">
        <v>17.3089043966344</v>
      </c>
      <c r="I30" s="7">
        <v>0.36883745699766601</v>
      </c>
      <c r="J30" s="7">
        <v>2.0403774216892101E-2</v>
      </c>
      <c r="K30" s="7">
        <v>17974.976999999999</v>
      </c>
      <c r="L30" s="7">
        <v>0.24252340907028599</v>
      </c>
    </row>
    <row r="31" spans="1:12" x14ac:dyDescent="0.3">
      <c r="A31" s="11">
        <v>2019</v>
      </c>
      <c r="B31" s="14" t="s">
        <v>101</v>
      </c>
      <c r="C31" s="14" t="s">
        <v>101</v>
      </c>
      <c r="D31" s="7">
        <v>26746.569800000001</v>
      </c>
      <c r="E31" s="7"/>
      <c r="F31" s="7"/>
      <c r="G31" s="7"/>
      <c r="H31" s="7">
        <v>97.533146789065796</v>
      </c>
      <c r="I31" s="7">
        <v>2.2334886228308899</v>
      </c>
      <c r="J31" s="7">
        <v>0.12355468977362399</v>
      </c>
      <c r="K31" s="7">
        <v>18003.9839791667</v>
      </c>
      <c r="L31" s="7">
        <v>1.48559173519315</v>
      </c>
    </row>
    <row r="32" spans="1:12" x14ac:dyDescent="0.3">
      <c r="A32" s="11">
        <v>2020</v>
      </c>
      <c r="B32" s="14" t="s">
        <v>101</v>
      </c>
      <c r="C32" s="14" t="s">
        <v>101</v>
      </c>
      <c r="D32" s="7">
        <v>17209.327900000098</v>
      </c>
      <c r="E32" s="7"/>
      <c r="F32" s="7"/>
      <c r="G32" s="7"/>
      <c r="H32" s="7">
        <v>68.220214828778097</v>
      </c>
      <c r="I32" s="7">
        <v>1.71813686226017</v>
      </c>
      <c r="J32" s="7">
        <v>9.5045868976094405E-2</v>
      </c>
      <c r="K32" s="7">
        <v>18032.990958333299</v>
      </c>
      <c r="L32" s="7">
        <v>0.95432465639025998</v>
      </c>
    </row>
    <row r="33" spans="1:12" x14ac:dyDescent="0.3">
      <c r="A33" s="11">
        <v>2021</v>
      </c>
      <c r="B33" s="14" t="s">
        <v>101</v>
      </c>
      <c r="C33" s="14" t="s">
        <v>101</v>
      </c>
      <c r="D33" s="7">
        <v>22402.4617</v>
      </c>
      <c r="E33" s="7"/>
      <c r="F33" s="7"/>
      <c r="G33" s="7"/>
      <c r="H33" s="7">
        <v>70.8877630222118</v>
      </c>
      <c r="I33" s="7">
        <v>1.7354825333260699</v>
      </c>
      <c r="J33" s="7">
        <v>9.6005416737187002E-2</v>
      </c>
      <c r="K33" s="7">
        <v>18061.9979375</v>
      </c>
      <c r="L33" s="7">
        <v>1.24030917163867</v>
      </c>
    </row>
    <row r="34" spans="1:12" x14ac:dyDescent="0.3">
      <c r="A34" s="11">
        <v>2022</v>
      </c>
      <c r="B34" s="14" t="s">
        <v>101</v>
      </c>
      <c r="C34" s="14" t="s">
        <v>101</v>
      </c>
      <c r="D34" s="7">
        <v>85311.818799999994</v>
      </c>
      <c r="E34" s="7"/>
      <c r="F34" s="7"/>
      <c r="G34" s="7"/>
      <c r="H34" s="7">
        <v>291.27070735460501</v>
      </c>
      <c r="I34" s="7">
        <v>6.7972903409230803</v>
      </c>
      <c r="J34" s="7">
        <v>0.37602031673191499</v>
      </c>
      <c r="K34" s="7">
        <v>18091.004916666701</v>
      </c>
      <c r="L34" s="7">
        <v>4.7157036987704704</v>
      </c>
    </row>
    <row r="35" spans="1:12" x14ac:dyDescent="0.3">
      <c r="A35" s="11">
        <v>2023</v>
      </c>
      <c r="B35" s="14" t="s">
        <v>101</v>
      </c>
      <c r="C35" s="14" t="s">
        <v>101</v>
      </c>
      <c r="D35" s="7">
        <v>30485.283390000001</v>
      </c>
      <c r="E35" s="7"/>
      <c r="F35" s="7"/>
      <c r="G35" s="7"/>
      <c r="H35" s="7">
        <v>90.811255554231707</v>
      </c>
      <c r="I35" s="7">
        <v>2.5012812828080402</v>
      </c>
      <c r="J35" s="7">
        <v>0.13836875181491301</v>
      </c>
      <c r="K35" s="7">
        <v>18120.011895833301</v>
      </c>
      <c r="L35" s="7">
        <v>1.6824096786056799</v>
      </c>
    </row>
    <row r="36" spans="1:12" x14ac:dyDescent="0.3">
      <c r="A36" s="12">
        <v>2024</v>
      </c>
      <c r="B36" s="5" t="s">
        <v>101</v>
      </c>
      <c r="C36" s="5" t="s">
        <v>101</v>
      </c>
      <c r="D36" s="8">
        <v>32996</v>
      </c>
      <c r="E36" s="8"/>
      <c r="F36" s="8"/>
      <c r="G36" s="8"/>
      <c r="H36" s="8">
        <v>87.121483930230497</v>
      </c>
      <c r="I36" s="8">
        <v>2.7020388351380999</v>
      </c>
      <c r="J36" s="8">
        <v>0.15095625978970101</v>
      </c>
      <c r="K36" s="8">
        <v>18149.018875000002</v>
      </c>
      <c r="L36" s="8">
        <v>1.8180597104040399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6"/>
  <sheetViews>
    <sheetView workbookViewId="0">
      <pane ySplit="1" topLeftCell="A9" activePane="bottomLeft" state="frozen"/>
      <selection pane="bottomLeft" activeCell="B1" sqref="B1"/>
    </sheetView>
  </sheetViews>
  <sheetFormatPr defaultColWidth="11.5546875" defaultRowHeight="14.4" x14ac:dyDescent="0.3"/>
  <cols>
    <col min="1" max="1" width="4.77734375" customWidth="1"/>
    <col min="2" max="2" width="14.77734375" customWidth="1"/>
    <col min="3" max="3" width="5.77734375" customWidth="1"/>
    <col min="4" max="4" width="5.88671875" customWidth="1"/>
    <col min="5" max="7" width="6.77734375" customWidth="1"/>
    <col min="8" max="8" width="5" customWidth="1"/>
    <col min="9" max="11" width="11.77734375" customWidth="1"/>
    <col min="12" max="12" width="4.109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102</v>
      </c>
      <c r="C2" s="13" t="s">
        <v>103</v>
      </c>
      <c r="D2" s="6"/>
      <c r="E2" s="6"/>
      <c r="F2" s="6"/>
      <c r="G2" s="6"/>
      <c r="H2" s="6"/>
      <c r="I2" s="6">
        <v>1.0938035363451001E-2</v>
      </c>
      <c r="J2" s="6">
        <v>1.07587233083125E-4</v>
      </c>
      <c r="K2" s="6">
        <v>2228.7486701006701</v>
      </c>
      <c r="L2" s="6"/>
    </row>
    <row r="3" spans="1:12" x14ac:dyDescent="0.3">
      <c r="A3" s="11">
        <v>1991</v>
      </c>
      <c r="B3" s="14" t="s">
        <v>102</v>
      </c>
      <c r="C3" s="14" t="s">
        <v>103</v>
      </c>
      <c r="D3" s="7"/>
      <c r="E3" s="7"/>
      <c r="F3" s="7"/>
      <c r="G3" s="7"/>
      <c r="H3" s="7"/>
      <c r="I3" s="7">
        <v>3.29568816740592E-3</v>
      </c>
      <c r="J3" s="7">
        <v>3.2416604925304201E-5</v>
      </c>
      <c r="K3" s="7">
        <v>2231.2204584972201</v>
      </c>
      <c r="L3" s="7"/>
    </row>
    <row r="4" spans="1:12" x14ac:dyDescent="0.3">
      <c r="A4" s="11">
        <v>1992</v>
      </c>
      <c r="B4" s="14" t="s">
        <v>102</v>
      </c>
      <c r="C4" s="14" t="s">
        <v>103</v>
      </c>
      <c r="D4" s="7"/>
      <c r="E4" s="7"/>
      <c r="F4" s="7"/>
      <c r="G4" s="7"/>
      <c r="H4" s="7"/>
      <c r="I4" s="7">
        <v>0.102328612843909</v>
      </c>
      <c r="J4" s="7">
        <v>1.00651094600566E-3</v>
      </c>
      <c r="K4" s="7">
        <v>2233.6920071002501</v>
      </c>
      <c r="L4" s="7"/>
    </row>
    <row r="5" spans="1:12" x14ac:dyDescent="0.3">
      <c r="A5" s="11">
        <v>1993</v>
      </c>
      <c r="B5" s="14" t="s">
        <v>102</v>
      </c>
      <c r="C5" s="14" t="s">
        <v>103</v>
      </c>
      <c r="D5" s="7"/>
      <c r="E5" s="7"/>
      <c r="F5" s="7"/>
      <c r="G5" s="7"/>
      <c r="H5" s="7"/>
      <c r="I5" s="7">
        <v>3.7339856019620699E-2</v>
      </c>
      <c r="J5" s="7">
        <v>3.6727727232413801E-4</v>
      </c>
      <c r="K5" s="7">
        <v>2236.1635557033001</v>
      </c>
      <c r="L5" s="7"/>
    </row>
    <row r="6" spans="1:12" x14ac:dyDescent="0.3">
      <c r="A6" s="11">
        <v>1994</v>
      </c>
      <c r="B6" s="14" t="s">
        <v>102</v>
      </c>
      <c r="C6" s="14" t="s">
        <v>103</v>
      </c>
      <c r="D6" s="7"/>
      <c r="E6" s="7"/>
      <c r="F6" s="7"/>
      <c r="G6" s="7"/>
      <c r="H6" s="7"/>
      <c r="I6" s="7">
        <v>2.65369044288838E-2</v>
      </c>
      <c r="J6" s="7">
        <v>2.61018732087382E-4</v>
      </c>
      <c r="K6" s="7">
        <v>2238.6351043063401</v>
      </c>
      <c r="L6" s="7"/>
    </row>
    <row r="7" spans="1:12" x14ac:dyDescent="0.3">
      <c r="A7" s="11">
        <v>1995</v>
      </c>
      <c r="B7" s="14" t="s">
        <v>102</v>
      </c>
      <c r="C7" s="14" t="s">
        <v>103</v>
      </c>
      <c r="D7" s="7"/>
      <c r="E7" s="7"/>
      <c r="F7" s="7"/>
      <c r="G7" s="7"/>
      <c r="H7" s="7"/>
      <c r="I7" s="7">
        <v>1.0890867208312499E-2</v>
      </c>
      <c r="J7" s="7">
        <v>1.07123284016189E-4</v>
      </c>
      <c r="K7" s="7">
        <v>2241.1066529094101</v>
      </c>
      <c r="L7" s="7"/>
    </row>
    <row r="8" spans="1:12" x14ac:dyDescent="0.3">
      <c r="A8" s="11">
        <v>1996</v>
      </c>
      <c r="B8" s="14" t="s">
        <v>102</v>
      </c>
      <c r="C8" s="14" t="s">
        <v>103</v>
      </c>
      <c r="D8" s="7"/>
      <c r="E8" s="7"/>
      <c r="F8" s="7"/>
      <c r="G8" s="7"/>
      <c r="H8" s="7"/>
      <c r="I8" s="7">
        <v>3.4175550717665197E-2</v>
      </c>
      <c r="J8" s="7">
        <v>3.3615295787867399E-4</v>
      </c>
      <c r="K8" s="7">
        <v>2243.5782015124701</v>
      </c>
      <c r="L8" s="7"/>
    </row>
    <row r="9" spans="1:12" x14ac:dyDescent="0.3">
      <c r="A9" s="11">
        <v>1997</v>
      </c>
      <c r="B9" s="14" t="s">
        <v>102</v>
      </c>
      <c r="C9" s="14" t="s">
        <v>103</v>
      </c>
      <c r="D9" s="7"/>
      <c r="E9" s="7"/>
      <c r="F9" s="7"/>
      <c r="G9" s="7"/>
      <c r="H9" s="7"/>
      <c r="I9" s="7">
        <v>6.8177442214516701E-2</v>
      </c>
      <c r="J9" s="7">
        <v>6.7059779227393503E-4</v>
      </c>
      <c r="K9" s="7">
        <v>2246.0497501155</v>
      </c>
      <c r="L9" s="7"/>
    </row>
    <row r="10" spans="1:12" x14ac:dyDescent="0.3">
      <c r="A10" s="11">
        <v>1998</v>
      </c>
      <c r="B10" s="14" t="s">
        <v>102</v>
      </c>
      <c r="C10" s="14" t="s">
        <v>103</v>
      </c>
      <c r="D10" s="7"/>
      <c r="E10" s="7"/>
      <c r="F10" s="7"/>
      <c r="G10" s="7"/>
      <c r="H10" s="7"/>
      <c r="I10" s="7">
        <v>3.2349401551418299E-3</v>
      </c>
      <c r="J10" s="7">
        <v>3.1819083493198298E-5</v>
      </c>
      <c r="K10" s="7">
        <v>2248.52129871852</v>
      </c>
      <c r="L10" s="7"/>
    </row>
    <row r="11" spans="1:12" x14ac:dyDescent="0.3">
      <c r="A11" s="11">
        <v>1999</v>
      </c>
      <c r="B11" s="14" t="s">
        <v>102</v>
      </c>
      <c r="C11" s="14" t="s">
        <v>103</v>
      </c>
      <c r="D11" s="7"/>
      <c r="E11" s="7"/>
      <c r="F11" s="7"/>
      <c r="G11" s="7"/>
      <c r="H11" s="7"/>
      <c r="I11" s="7">
        <v>3.5883987474585002E-2</v>
      </c>
      <c r="J11" s="7">
        <v>3.5295725384837802E-4</v>
      </c>
      <c r="K11" s="7">
        <v>2250.99284732159</v>
      </c>
      <c r="L11" s="7"/>
    </row>
    <row r="12" spans="1:12" x14ac:dyDescent="0.3">
      <c r="A12" s="11">
        <v>2000</v>
      </c>
      <c r="B12" s="14" t="s">
        <v>102</v>
      </c>
      <c r="C12" s="14" t="s">
        <v>103</v>
      </c>
      <c r="D12" s="7"/>
      <c r="E12" s="7"/>
      <c r="F12" s="7"/>
      <c r="G12" s="7"/>
      <c r="H12" s="7"/>
      <c r="I12" s="7">
        <v>4.9165784698496397E-2</v>
      </c>
      <c r="J12" s="7">
        <v>4.8359788228029201E-4</v>
      </c>
      <c r="K12" s="7">
        <v>2253.46439592465</v>
      </c>
      <c r="L12" s="7"/>
    </row>
    <row r="13" spans="1:12" x14ac:dyDescent="0.3">
      <c r="A13" s="11">
        <v>2001</v>
      </c>
      <c r="B13" s="14" t="s">
        <v>102</v>
      </c>
      <c r="C13" s="14" t="s">
        <v>103</v>
      </c>
      <c r="D13" s="7"/>
      <c r="E13" s="7"/>
      <c r="F13" s="7"/>
      <c r="G13" s="7"/>
      <c r="H13" s="7"/>
      <c r="I13" s="7">
        <v>5.5440079559243996E-3</v>
      </c>
      <c r="J13" s="7">
        <v>5.4531225795977798E-5</v>
      </c>
      <c r="K13" s="7">
        <v>2255.9359445277</v>
      </c>
      <c r="L13" s="7"/>
    </row>
    <row r="14" spans="1:12" x14ac:dyDescent="0.3">
      <c r="A14" s="11">
        <v>2002</v>
      </c>
      <c r="B14" s="14" t="s">
        <v>102</v>
      </c>
      <c r="C14" s="14" t="s">
        <v>103</v>
      </c>
      <c r="D14" s="7"/>
      <c r="E14" s="7"/>
      <c r="F14" s="7"/>
      <c r="G14" s="7"/>
      <c r="H14" s="7"/>
      <c r="I14" s="7">
        <v>0.107982379117375</v>
      </c>
      <c r="J14" s="7">
        <v>1.0621217618102499E-3</v>
      </c>
      <c r="K14" s="7">
        <v>2258.40749313074</v>
      </c>
      <c r="L14" s="7"/>
    </row>
    <row r="15" spans="1:12" x14ac:dyDescent="0.3">
      <c r="A15" s="11">
        <v>2003</v>
      </c>
      <c r="B15" s="14" t="s">
        <v>102</v>
      </c>
      <c r="C15" s="14" t="s">
        <v>103</v>
      </c>
      <c r="D15" s="7"/>
      <c r="E15" s="7"/>
      <c r="F15" s="7"/>
      <c r="G15" s="7"/>
      <c r="H15" s="7"/>
      <c r="I15" s="7">
        <v>1.3387511190527999E-2</v>
      </c>
      <c r="J15" s="7">
        <v>1.3168043793961999E-4</v>
      </c>
      <c r="K15" s="7">
        <v>2260.87904173377</v>
      </c>
      <c r="L15" s="7"/>
    </row>
    <row r="16" spans="1:12" x14ac:dyDescent="0.3">
      <c r="A16" s="11">
        <v>2004</v>
      </c>
      <c r="B16" s="14" t="s">
        <v>102</v>
      </c>
      <c r="C16" s="14" t="s">
        <v>103</v>
      </c>
      <c r="D16" s="7"/>
      <c r="E16" s="7"/>
      <c r="F16" s="7"/>
      <c r="G16" s="7"/>
      <c r="H16" s="7"/>
      <c r="I16" s="7">
        <v>3.0937153274668099E-2</v>
      </c>
      <c r="J16" s="7">
        <v>3.0429986827542401E-4</v>
      </c>
      <c r="K16" s="7">
        <v>2274.3211647298999</v>
      </c>
      <c r="L16" s="7"/>
    </row>
    <row r="17" spans="1:12" x14ac:dyDescent="0.3">
      <c r="A17" s="11">
        <v>2005</v>
      </c>
      <c r="B17" s="14" t="s">
        <v>102</v>
      </c>
      <c r="C17" s="14" t="s">
        <v>103</v>
      </c>
      <c r="D17" s="7"/>
      <c r="E17" s="7"/>
      <c r="F17" s="7"/>
      <c r="G17" s="7"/>
      <c r="H17" s="7"/>
      <c r="I17" s="7">
        <v>7.9562067951975696E-3</v>
      </c>
      <c r="J17" s="7">
        <v>7.8257771756041594E-5</v>
      </c>
      <c r="K17" s="7">
        <v>2290.49059972846</v>
      </c>
      <c r="L17" s="7"/>
    </row>
    <row r="18" spans="1:12" x14ac:dyDescent="0.3">
      <c r="A18" s="11">
        <v>2006</v>
      </c>
      <c r="B18" s="14" t="s">
        <v>102</v>
      </c>
      <c r="C18" s="14" t="s">
        <v>103</v>
      </c>
      <c r="D18" s="7"/>
      <c r="E18" s="7"/>
      <c r="F18" s="7"/>
      <c r="G18" s="7"/>
      <c r="H18" s="7"/>
      <c r="I18" s="7">
        <v>0.25910731906378998</v>
      </c>
      <c r="J18" s="7">
        <v>2.5485965809553101E-3</v>
      </c>
      <c r="K18" s="7">
        <v>2299.9881882773102</v>
      </c>
      <c r="L18" s="7"/>
    </row>
    <row r="19" spans="1:12" x14ac:dyDescent="0.3">
      <c r="A19" s="11">
        <v>2007</v>
      </c>
      <c r="B19" s="14" t="s">
        <v>102</v>
      </c>
      <c r="C19" s="14" t="s">
        <v>103</v>
      </c>
      <c r="D19" s="7"/>
      <c r="E19" s="7"/>
      <c r="F19" s="7"/>
      <c r="G19" s="7"/>
      <c r="H19" s="7"/>
      <c r="I19" s="7">
        <v>6.4754520294178402E-3</v>
      </c>
      <c r="J19" s="7">
        <v>6.36929707811591E-5</v>
      </c>
      <c r="K19" s="7">
        <v>2293.7214327339998</v>
      </c>
      <c r="L19" s="7"/>
    </row>
    <row r="20" spans="1:12" x14ac:dyDescent="0.3">
      <c r="A20" s="11">
        <v>2008</v>
      </c>
      <c r="B20" s="14" t="s">
        <v>102</v>
      </c>
      <c r="C20" s="14" t="s">
        <v>103</v>
      </c>
      <c r="D20" s="7"/>
      <c r="E20" s="7"/>
      <c r="F20" s="7"/>
      <c r="G20" s="7"/>
      <c r="H20" s="7"/>
      <c r="I20" s="7">
        <v>3.6225457465652401E-2</v>
      </c>
      <c r="J20" s="7">
        <v>3.5631597507199098E-4</v>
      </c>
      <c r="K20" s="7">
        <v>2294.2376504499898</v>
      </c>
      <c r="L20" s="7"/>
    </row>
    <row r="21" spans="1:12" x14ac:dyDescent="0.3">
      <c r="A21" s="11">
        <v>2009</v>
      </c>
      <c r="B21" s="14" t="s">
        <v>102</v>
      </c>
      <c r="C21" s="14" t="s">
        <v>103</v>
      </c>
      <c r="D21" s="7"/>
      <c r="E21" s="7"/>
      <c r="F21" s="7"/>
      <c r="G21" s="7"/>
      <c r="H21" s="7"/>
      <c r="I21" s="7">
        <v>4.0436673606099802E-3</v>
      </c>
      <c r="J21" s="7">
        <v>3.9773777317475198E-5</v>
      </c>
      <c r="K21" s="7">
        <v>2310.9606308419802</v>
      </c>
      <c r="L21" s="7"/>
    </row>
    <row r="22" spans="1:12" x14ac:dyDescent="0.3">
      <c r="A22" s="11">
        <v>2010</v>
      </c>
      <c r="B22" s="14" t="s">
        <v>102</v>
      </c>
      <c r="C22" s="14" t="s">
        <v>103</v>
      </c>
      <c r="D22" s="7"/>
      <c r="E22" s="7"/>
      <c r="F22" s="7"/>
      <c r="G22" s="7"/>
      <c r="H22" s="7"/>
      <c r="I22" s="7">
        <v>2.23424466276629E-3</v>
      </c>
      <c r="J22" s="7">
        <v>2.1976177010815999E-5</v>
      </c>
      <c r="K22" s="7">
        <v>2319.5469535738198</v>
      </c>
      <c r="L22" s="7"/>
    </row>
    <row r="23" spans="1:12" x14ac:dyDescent="0.3">
      <c r="A23" s="11">
        <v>2011</v>
      </c>
      <c r="B23" s="14" t="s">
        <v>102</v>
      </c>
      <c r="C23" s="14" t="s">
        <v>103</v>
      </c>
      <c r="D23" s="7"/>
      <c r="E23" s="7"/>
      <c r="F23" s="7"/>
      <c r="G23" s="7"/>
      <c r="H23" s="7"/>
      <c r="I23" s="7">
        <v>1.6849750587766099E-3</v>
      </c>
      <c r="J23" s="7">
        <v>1.6573525168294501E-5</v>
      </c>
      <c r="K23" s="7">
        <v>2335.1970903558599</v>
      </c>
      <c r="L23" s="7"/>
    </row>
    <row r="24" spans="1:12" x14ac:dyDescent="0.3">
      <c r="A24" s="11">
        <v>2012</v>
      </c>
      <c r="B24" s="14" t="s">
        <v>102</v>
      </c>
      <c r="C24" s="14" t="s">
        <v>103</v>
      </c>
      <c r="D24" s="7"/>
      <c r="E24" s="7"/>
      <c r="F24" s="7"/>
      <c r="G24" s="7"/>
      <c r="H24" s="7"/>
      <c r="I24" s="7">
        <v>1.8599599257995299E-4</v>
      </c>
      <c r="J24" s="7">
        <v>1.82946877947495E-6</v>
      </c>
      <c r="K24" s="7">
        <v>2351.34659819437</v>
      </c>
      <c r="L24" s="7"/>
    </row>
    <row r="25" spans="1:12" x14ac:dyDescent="0.3">
      <c r="A25" s="11">
        <v>2013</v>
      </c>
      <c r="B25" s="14" t="s">
        <v>102</v>
      </c>
      <c r="C25" s="14" t="s">
        <v>103</v>
      </c>
      <c r="D25" s="7"/>
      <c r="E25" s="7"/>
      <c r="F25" s="7"/>
      <c r="G25" s="7"/>
      <c r="H25" s="7"/>
      <c r="I25" s="7">
        <v>7.6395953428968604E-5</v>
      </c>
      <c r="J25" s="7">
        <v>7.5143560749805199E-7</v>
      </c>
      <c r="K25" s="7">
        <v>2351.4207816101598</v>
      </c>
      <c r="L25" s="7"/>
    </row>
    <row r="26" spans="1:12" x14ac:dyDescent="0.3">
      <c r="A26" s="11">
        <v>2014</v>
      </c>
      <c r="B26" s="14" t="s">
        <v>102</v>
      </c>
      <c r="C26" s="14" t="s">
        <v>103</v>
      </c>
      <c r="D26" s="7"/>
      <c r="E26" s="7"/>
      <c r="F26" s="7"/>
      <c r="G26" s="7"/>
      <c r="H26" s="7"/>
      <c r="I26" s="7">
        <v>1.5062738705029499E-3</v>
      </c>
      <c r="J26" s="7">
        <v>1.4815808562324099E-5</v>
      </c>
      <c r="K26" s="7">
        <v>2370.0877910357299</v>
      </c>
      <c r="L26" s="7"/>
    </row>
    <row r="27" spans="1:12" x14ac:dyDescent="0.3">
      <c r="A27" s="11">
        <v>2015</v>
      </c>
      <c r="B27" s="14" t="s">
        <v>102</v>
      </c>
      <c r="C27" s="14" t="s">
        <v>103</v>
      </c>
      <c r="D27" s="7"/>
      <c r="E27" s="7"/>
      <c r="F27" s="7"/>
      <c r="G27" s="7"/>
      <c r="H27" s="7"/>
      <c r="I27" s="7">
        <v>1.2060666021114301E-2</v>
      </c>
      <c r="J27" s="7">
        <v>1.18629501847026E-4</v>
      </c>
      <c r="K27" s="7">
        <v>2378.27484282563</v>
      </c>
      <c r="L27" s="7"/>
    </row>
    <row r="28" spans="1:12" x14ac:dyDescent="0.3">
      <c r="A28" s="11">
        <v>2016</v>
      </c>
      <c r="B28" s="14" t="s">
        <v>102</v>
      </c>
      <c r="C28" s="14" t="s">
        <v>103</v>
      </c>
      <c r="D28" s="7"/>
      <c r="E28" s="7"/>
      <c r="F28" s="7"/>
      <c r="G28" s="7"/>
      <c r="H28" s="7"/>
      <c r="I28" s="7">
        <v>1.8011357805483599E-2</v>
      </c>
      <c r="J28" s="7">
        <v>1.7716089644737899E-4</v>
      </c>
      <c r="K28" s="7">
        <v>2383.77454572033</v>
      </c>
      <c r="L28" s="7"/>
    </row>
    <row r="29" spans="1:12" x14ac:dyDescent="0.3">
      <c r="A29" s="11">
        <v>2017</v>
      </c>
      <c r="B29" s="14" t="s">
        <v>102</v>
      </c>
      <c r="C29" s="14" t="s">
        <v>103</v>
      </c>
      <c r="D29" s="7"/>
      <c r="E29" s="7"/>
      <c r="F29" s="7"/>
      <c r="G29" s="7"/>
      <c r="H29" s="7"/>
      <c r="I29" s="7">
        <v>4.5036588287660703E-3</v>
      </c>
      <c r="J29" s="7">
        <v>4.4298283561633398E-5</v>
      </c>
      <c r="K29" s="7">
        <v>2399.9007786869402</v>
      </c>
      <c r="L29" s="7"/>
    </row>
    <row r="30" spans="1:12" x14ac:dyDescent="0.3">
      <c r="A30" s="11">
        <v>2018</v>
      </c>
      <c r="B30" s="14" t="s">
        <v>102</v>
      </c>
      <c r="C30" s="14" t="s">
        <v>103</v>
      </c>
      <c r="D30" s="7"/>
      <c r="E30" s="7"/>
      <c r="F30" s="7"/>
      <c r="G30" s="7"/>
      <c r="H30" s="7"/>
      <c r="I30" s="7">
        <v>0.104190393170699</v>
      </c>
      <c r="J30" s="7">
        <v>1.0248235393839199E-3</v>
      </c>
      <c r="K30" s="7">
        <v>2415.4969124135901</v>
      </c>
      <c r="L30" s="7"/>
    </row>
    <row r="31" spans="1:12" x14ac:dyDescent="0.3">
      <c r="A31" s="11">
        <v>2019</v>
      </c>
      <c r="B31" s="14" t="s">
        <v>102</v>
      </c>
      <c r="C31" s="14" t="s">
        <v>103</v>
      </c>
      <c r="D31" s="7"/>
      <c r="E31" s="7"/>
      <c r="F31" s="7"/>
      <c r="G31" s="7"/>
      <c r="H31" s="7"/>
      <c r="I31" s="7">
        <v>3.87837513055614E-3</v>
      </c>
      <c r="J31" s="7">
        <v>3.8147952103830901E-5</v>
      </c>
      <c r="K31" s="7">
        <v>2430.3475702589699</v>
      </c>
      <c r="L31" s="7"/>
    </row>
    <row r="32" spans="1:12" x14ac:dyDescent="0.3">
      <c r="A32" s="11">
        <v>2020</v>
      </c>
      <c r="B32" s="14" t="s">
        <v>102</v>
      </c>
      <c r="C32" s="14" t="s">
        <v>103</v>
      </c>
      <c r="D32" s="7"/>
      <c r="E32" s="7"/>
      <c r="F32" s="7"/>
      <c r="G32" s="7"/>
      <c r="H32" s="7"/>
      <c r="I32" s="7">
        <v>6.1408642747431902E-3</v>
      </c>
      <c r="J32" s="7">
        <v>6.04019436859986E-5</v>
      </c>
      <c r="K32" s="7">
        <v>2432.6819308068398</v>
      </c>
      <c r="L32" s="7"/>
    </row>
    <row r="33" spans="1:12" x14ac:dyDescent="0.3">
      <c r="A33" s="11">
        <v>2021</v>
      </c>
      <c r="B33" s="14" t="s">
        <v>102</v>
      </c>
      <c r="C33" s="14" t="s">
        <v>103</v>
      </c>
      <c r="D33" s="7"/>
      <c r="E33" s="7"/>
      <c r="F33" s="7"/>
      <c r="G33" s="7"/>
      <c r="H33" s="7"/>
      <c r="I33" s="7">
        <v>2.0693458325091998E-3</v>
      </c>
      <c r="J33" s="7">
        <v>2.0354221303369099E-5</v>
      </c>
      <c r="K33" s="7">
        <v>2434.3960304017701</v>
      </c>
      <c r="L33" s="7"/>
    </row>
    <row r="34" spans="1:12" x14ac:dyDescent="0.3">
      <c r="A34" s="11">
        <v>2022</v>
      </c>
      <c r="B34" s="14" t="s">
        <v>102</v>
      </c>
      <c r="C34" s="14" t="s">
        <v>103</v>
      </c>
      <c r="D34" s="7"/>
      <c r="E34" s="7"/>
      <c r="F34" s="7"/>
      <c r="G34" s="7"/>
      <c r="H34" s="7"/>
      <c r="I34" s="7">
        <v>6.9488111801861404E-4</v>
      </c>
      <c r="J34" s="7">
        <v>6.8348962428060401E-6</v>
      </c>
      <c r="K34" s="7">
        <v>2441.4989341409701</v>
      </c>
      <c r="L34" s="7"/>
    </row>
    <row r="35" spans="1:12" x14ac:dyDescent="0.3">
      <c r="A35" s="11">
        <v>2023</v>
      </c>
      <c r="B35" s="14" t="s">
        <v>102</v>
      </c>
      <c r="C35" s="14" t="s">
        <v>103</v>
      </c>
      <c r="D35" s="7"/>
      <c r="E35" s="7"/>
      <c r="F35" s="7"/>
      <c r="G35" s="7"/>
      <c r="H35" s="7"/>
      <c r="I35" s="7">
        <v>5.21012239573539E-3</v>
      </c>
      <c r="J35" s="7">
        <v>5.12471055318235E-5</v>
      </c>
      <c r="K35" s="7">
        <v>2450.9130849926401</v>
      </c>
      <c r="L35" s="7"/>
    </row>
    <row r="36" spans="1:12" x14ac:dyDescent="0.3">
      <c r="A36" s="12">
        <v>2024</v>
      </c>
      <c r="B36" s="5" t="s">
        <v>102</v>
      </c>
      <c r="C36" s="5" t="s">
        <v>103</v>
      </c>
      <c r="D36" s="8"/>
      <c r="E36" s="8"/>
      <c r="F36" s="8"/>
      <c r="G36" s="8"/>
      <c r="H36" s="8"/>
      <c r="I36" s="8">
        <v>2.9003538033393599E-3</v>
      </c>
      <c r="J36" s="8">
        <v>2.8528070196780601E-5</v>
      </c>
      <c r="K36" s="8">
        <v>2459.7385792640398</v>
      </c>
      <c r="L36" s="8"/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6"/>
  <sheetViews>
    <sheetView workbookViewId="0">
      <pane ySplit="1" topLeftCell="A2" activePane="bottomLeft" state="frozen"/>
      <selection pane="bottomLeft" activeCell="K5" sqref="K5"/>
    </sheetView>
  </sheetViews>
  <sheetFormatPr defaultColWidth="11.5546875" defaultRowHeight="14.4" x14ac:dyDescent="0.3"/>
  <cols>
    <col min="1" max="1" width="4.77734375" customWidth="1"/>
    <col min="2" max="2" width="11.77734375" customWidth="1"/>
    <col min="3" max="3" width="4.109375" customWidth="1"/>
    <col min="4" max="4" width="9.77734375" customWidth="1"/>
    <col min="5" max="5" width="6.77734375" customWidth="1"/>
    <col min="6" max="7" width="11.77734375" customWidth="1"/>
    <col min="8" max="8" width="5" customWidth="1"/>
    <col min="9" max="10" width="8.77734375" customWidth="1"/>
    <col min="11" max="11" width="9.77734375" customWidth="1"/>
    <col min="12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99</v>
      </c>
      <c r="C2" s="13" t="s">
        <v>100</v>
      </c>
      <c r="D2" s="6">
        <v>434.5</v>
      </c>
      <c r="E2" s="6"/>
      <c r="F2" s="6">
        <v>2.4108170310702001E-2</v>
      </c>
      <c r="G2" s="6">
        <v>1.3325661680092099E-3</v>
      </c>
      <c r="H2" s="6"/>
      <c r="I2" s="6">
        <v>1.0475E-2</v>
      </c>
      <c r="J2" s="6">
        <v>5.7899999999999998E-4</v>
      </c>
      <c r="K2" s="6">
        <v>22108.639999999999</v>
      </c>
      <c r="L2" s="6">
        <v>1.9652950158851899E-2</v>
      </c>
    </row>
    <row r="3" spans="1:12" x14ac:dyDescent="0.3">
      <c r="A3" s="11">
        <v>1991</v>
      </c>
      <c r="B3" s="14" t="s">
        <v>99</v>
      </c>
      <c r="C3" s="14" t="s">
        <v>100</v>
      </c>
      <c r="D3" s="7">
        <v>226.5</v>
      </c>
      <c r="E3" s="7"/>
      <c r="F3" s="7">
        <v>2.4260485651214098E-2</v>
      </c>
      <c r="G3" s="7">
        <v>1.34216335540839E-3</v>
      </c>
      <c r="H3" s="7"/>
      <c r="I3" s="7">
        <v>5.4949999999999999E-3</v>
      </c>
      <c r="J3" s="7">
        <v>3.0400000000000002E-4</v>
      </c>
      <c r="K3" s="7">
        <v>22115.15</v>
      </c>
      <c r="L3" s="7">
        <v>1.02418477830808E-2</v>
      </c>
    </row>
    <row r="4" spans="1:12" x14ac:dyDescent="0.3">
      <c r="A4" s="11">
        <v>1992</v>
      </c>
      <c r="B4" s="14" t="s">
        <v>99</v>
      </c>
      <c r="C4" s="14" t="s">
        <v>100</v>
      </c>
      <c r="D4" s="7">
        <v>1081.5</v>
      </c>
      <c r="E4" s="7"/>
      <c r="F4" s="7">
        <v>2.4561257512713802E-2</v>
      </c>
      <c r="G4" s="7">
        <v>1.35829865926953E-3</v>
      </c>
      <c r="H4" s="7"/>
      <c r="I4" s="7">
        <v>2.6563E-2</v>
      </c>
      <c r="J4" s="7">
        <v>1.469E-3</v>
      </c>
      <c r="K4" s="7">
        <v>22120.331999999999</v>
      </c>
      <c r="L4" s="7">
        <v>4.8891671246163899E-2</v>
      </c>
    </row>
    <row r="5" spans="1:12" x14ac:dyDescent="0.3">
      <c r="A5" s="11">
        <v>1993</v>
      </c>
      <c r="B5" s="14" t="s">
        <v>99</v>
      </c>
      <c r="C5" s="14" t="s">
        <v>100</v>
      </c>
      <c r="D5" s="7"/>
      <c r="E5" s="7"/>
      <c r="F5" s="7"/>
      <c r="G5" s="7"/>
      <c r="H5" s="7"/>
      <c r="I5" s="7"/>
      <c r="J5" s="7"/>
      <c r="K5" s="7">
        <v>22122.66</v>
      </c>
      <c r="L5" s="7"/>
    </row>
    <row r="6" spans="1:12" x14ac:dyDescent="0.3">
      <c r="A6" s="11">
        <v>1994</v>
      </c>
      <c r="B6" s="14" t="s">
        <v>99</v>
      </c>
      <c r="C6" s="14" t="s">
        <v>100</v>
      </c>
      <c r="D6" s="7">
        <v>798.5</v>
      </c>
      <c r="E6" s="7"/>
      <c r="F6" s="7">
        <v>2.5142141515341301E-2</v>
      </c>
      <c r="G6" s="7">
        <v>1.3913587977457699E-3</v>
      </c>
      <c r="H6" s="7"/>
      <c r="I6" s="7">
        <v>2.0076E-2</v>
      </c>
      <c r="J6" s="7">
        <v>1.111E-3</v>
      </c>
      <c r="K6" s="7">
        <v>22124.973000000002</v>
      </c>
      <c r="L6" s="7">
        <v>3.6090439522796301E-2</v>
      </c>
    </row>
    <row r="7" spans="1:12" x14ac:dyDescent="0.3">
      <c r="A7" s="11">
        <v>1995</v>
      </c>
      <c r="B7" s="14" t="s">
        <v>99</v>
      </c>
      <c r="C7" s="14" t="s">
        <v>100</v>
      </c>
      <c r="D7" s="7">
        <v>526.5</v>
      </c>
      <c r="E7" s="7"/>
      <c r="F7" s="7">
        <v>2.54017094017094E-2</v>
      </c>
      <c r="G7" s="7">
        <v>1.4055080721747399E-3</v>
      </c>
      <c r="H7" s="7"/>
      <c r="I7" s="7">
        <v>1.3374E-2</v>
      </c>
      <c r="J7" s="7">
        <v>7.3999999999999999E-4</v>
      </c>
      <c r="K7" s="7">
        <v>22126.133999999998</v>
      </c>
      <c r="L7" s="7">
        <v>2.37953905548977E-2</v>
      </c>
    </row>
    <row r="8" spans="1:12" x14ac:dyDescent="0.3">
      <c r="A8" s="11">
        <v>1996</v>
      </c>
      <c r="B8" s="14" t="s">
        <v>99</v>
      </c>
      <c r="C8" s="14" t="s">
        <v>100</v>
      </c>
      <c r="D8" s="7">
        <v>441.06200000000001</v>
      </c>
      <c r="E8" s="7"/>
      <c r="F8" s="7">
        <v>2.5311634192018401E-2</v>
      </c>
      <c r="G8" s="7">
        <v>1.4011635552371299E-3</v>
      </c>
      <c r="H8" s="7"/>
      <c r="I8" s="7">
        <v>1.1164E-2</v>
      </c>
      <c r="J8" s="7">
        <v>6.1799999999999995E-4</v>
      </c>
      <c r="K8" s="7">
        <v>22126.401000000002</v>
      </c>
      <c r="L8" s="7">
        <v>1.99337434045419E-2</v>
      </c>
    </row>
    <row r="9" spans="1:12" x14ac:dyDescent="0.3">
      <c r="A9" s="11">
        <v>1997</v>
      </c>
      <c r="B9" s="14" t="s">
        <v>99</v>
      </c>
      <c r="C9" s="14" t="s">
        <v>100</v>
      </c>
      <c r="D9" s="7">
        <v>1161.1790000000001</v>
      </c>
      <c r="E9" s="7"/>
      <c r="F9" s="7">
        <v>2.6220763551528199E-2</v>
      </c>
      <c r="G9" s="7">
        <v>1.4502501337003201E-3</v>
      </c>
      <c r="H9" s="7"/>
      <c r="I9" s="7">
        <v>3.0446999999999998E-2</v>
      </c>
      <c r="J9" s="7">
        <v>1.684E-3</v>
      </c>
      <c r="K9" s="7">
        <v>22123.702000000001</v>
      </c>
      <c r="L9" s="7">
        <v>5.2485745830422099E-2</v>
      </c>
    </row>
    <row r="10" spans="1:12" x14ac:dyDescent="0.3">
      <c r="A10" s="11">
        <v>1998</v>
      </c>
      <c r="B10" s="14" t="s">
        <v>99</v>
      </c>
      <c r="C10" s="14" t="s">
        <v>100</v>
      </c>
      <c r="D10" s="7">
        <v>133.07</v>
      </c>
      <c r="E10" s="7"/>
      <c r="F10" s="7">
        <v>2.74066280904787E-2</v>
      </c>
      <c r="G10" s="7">
        <v>1.51799804614113E-3</v>
      </c>
      <c r="H10" s="7"/>
      <c r="I10" s="7">
        <v>3.6470000000000001E-3</v>
      </c>
      <c r="J10" s="7">
        <v>2.02E-4</v>
      </c>
      <c r="K10" s="7">
        <v>22120.611000000001</v>
      </c>
      <c r="L10" s="7">
        <v>6.0156566199731096E-3</v>
      </c>
    </row>
    <row r="11" spans="1:12" x14ac:dyDescent="0.3">
      <c r="A11" s="11">
        <v>1999</v>
      </c>
      <c r="B11" s="14" t="s">
        <v>99</v>
      </c>
      <c r="C11" s="14" t="s">
        <v>100</v>
      </c>
      <c r="D11" s="7">
        <v>625.24</v>
      </c>
      <c r="E11" s="7"/>
      <c r="F11" s="7">
        <v>2.7266329729383899E-2</v>
      </c>
      <c r="G11" s="7">
        <v>1.5082208431962099E-3</v>
      </c>
      <c r="H11" s="7"/>
      <c r="I11" s="7">
        <v>1.7048000000000001E-2</v>
      </c>
      <c r="J11" s="7">
        <v>9.4300000000000004E-4</v>
      </c>
      <c r="K11" s="7">
        <v>22114.671999999999</v>
      </c>
      <c r="L11" s="7">
        <v>2.8272632757112601E-2</v>
      </c>
    </row>
    <row r="12" spans="1:12" x14ac:dyDescent="0.3">
      <c r="A12" s="11">
        <v>2000</v>
      </c>
      <c r="B12" s="14" t="s">
        <v>99</v>
      </c>
      <c r="C12" s="14" t="s">
        <v>100</v>
      </c>
      <c r="D12" s="7">
        <v>266.51139999999998</v>
      </c>
      <c r="E12" s="7"/>
      <c r="F12" s="7">
        <v>2.8021315410898001E-2</v>
      </c>
      <c r="G12" s="7">
        <v>1.54965228504297E-3</v>
      </c>
      <c r="H12" s="7"/>
      <c r="I12" s="7">
        <v>7.4679999999999998E-3</v>
      </c>
      <c r="J12" s="7">
        <v>4.1300000000000001E-4</v>
      </c>
      <c r="K12" s="7">
        <v>22105.769</v>
      </c>
      <c r="L12" s="7">
        <v>1.2056192209373E-2</v>
      </c>
    </row>
    <row r="13" spans="1:12" x14ac:dyDescent="0.3">
      <c r="A13" s="11">
        <v>2001</v>
      </c>
      <c r="B13" s="14" t="s">
        <v>99</v>
      </c>
      <c r="C13" s="14" t="s">
        <v>100</v>
      </c>
      <c r="D13" s="7">
        <v>190.21530000000001</v>
      </c>
      <c r="E13" s="7"/>
      <c r="F13" s="7">
        <v>2.7258585402961801E-2</v>
      </c>
      <c r="G13" s="7">
        <v>1.50881658836066E-3</v>
      </c>
      <c r="H13" s="7"/>
      <c r="I13" s="7">
        <v>5.1850000000000004E-3</v>
      </c>
      <c r="J13" s="7">
        <v>2.8699999999999998E-4</v>
      </c>
      <c r="K13" s="7">
        <v>22093.174999999999</v>
      </c>
      <c r="L13" s="7">
        <v>8.6096860229459993E-3</v>
      </c>
    </row>
    <row r="14" spans="1:12" x14ac:dyDescent="0.3">
      <c r="A14" s="11">
        <v>2002</v>
      </c>
      <c r="B14" s="14" t="s">
        <v>99</v>
      </c>
      <c r="C14" s="14" t="s">
        <v>100</v>
      </c>
      <c r="D14" s="7">
        <v>591.25429999999994</v>
      </c>
      <c r="E14" s="7"/>
      <c r="F14" s="7">
        <v>2.70458920975289E-2</v>
      </c>
      <c r="G14" s="7">
        <v>1.4968178666945799E-3</v>
      </c>
      <c r="H14" s="7"/>
      <c r="I14" s="7">
        <v>1.5990999999999998E-2</v>
      </c>
      <c r="J14" s="7">
        <v>8.8500000000000004E-4</v>
      </c>
      <c r="K14" s="7">
        <v>22078.83</v>
      </c>
      <c r="L14" s="7">
        <v>2.6779240566642298E-2</v>
      </c>
    </row>
    <row r="15" spans="1:12" x14ac:dyDescent="0.3">
      <c r="A15" s="11">
        <v>2003</v>
      </c>
      <c r="B15" s="14" t="s">
        <v>99</v>
      </c>
      <c r="C15" s="14" t="s">
        <v>100</v>
      </c>
      <c r="D15" s="7">
        <v>660.57169999999996</v>
      </c>
      <c r="E15" s="7"/>
      <c r="F15" s="7">
        <v>2.4235067896490301E-2</v>
      </c>
      <c r="G15" s="7">
        <v>1.34126242465428E-3</v>
      </c>
      <c r="H15" s="7"/>
      <c r="I15" s="7">
        <v>1.6008999999999999E-2</v>
      </c>
      <c r="J15" s="7">
        <v>8.8599999999999996E-4</v>
      </c>
      <c r="K15" s="7">
        <v>22062.080000000002</v>
      </c>
      <c r="L15" s="7">
        <v>2.99414969032838E-2</v>
      </c>
    </row>
    <row r="16" spans="1:12" x14ac:dyDescent="0.3">
      <c r="A16" s="11">
        <v>2004</v>
      </c>
      <c r="B16" s="14" t="s">
        <v>99</v>
      </c>
      <c r="C16" s="14" t="s">
        <v>100</v>
      </c>
      <c r="D16" s="7">
        <v>352.58510000000001</v>
      </c>
      <c r="E16" s="7"/>
      <c r="F16" s="7">
        <v>2.7820234037116101E-2</v>
      </c>
      <c r="G16" s="7">
        <v>1.54005373454522E-3</v>
      </c>
      <c r="H16" s="7"/>
      <c r="I16" s="7">
        <v>9.809E-3</v>
      </c>
      <c r="J16" s="7">
        <v>5.4299999999999997E-4</v>
      </c>
      <c r="K16" s="7">
        <v>22044.089</v>
      </c>
      <c r="L16" s="7">
        <v>1.59945416660221E-2</v>
      </c>
    </row>
    <row r="17" spans="1:12" x14ac:dyDescent="0.3">
      <c r="A17" s="11">
        <v>2005</v>
      </c>
      <c r="B17" s="14" t="s">
        <v>99</v>
      </c>
      <c r="C17" s="14" t="s">
        <v>100</v>
      </c>
      <c r="D17" s="7">
        <v>520.55439999999999</v>
      </c>
      <c r="E17" s="7"/>
      <c r="F17" s="7">
        <v>2.59838356951742E-2</v>
      </c>
      <c r="G17" s="7">
        <v>1.4369295504946299E-3</v>
      </c>
      <c r="H17" s="7"/>
      <c r="I17" s="7">
        <v>1.3526E-2</v>
      </c>
      <c r="J17" s="7">
        <v>7.4799999999999997E-4</v>
      </c>
      <c r="K17" s="7">
        <v>22025.681</v>
      </c>
      <c r="L17" s="7">
        <v>2.3633975267325399E-2</v>
      </c>
    </row>
    <row r="18" spans="1:12" x14ac:dyDescent="0.3">
      <c r="A18" s="11">
        <v>2006</v>
      </c>
      <c r="B18" s="14" t="s">
        <v>99</v>
      </c>
      <c r="C18" s="14" t="s">
        <v>100</v>
      </c>
      <c r="D18" s="7">
        <v>1569.5563</v>
      </c>
      <c r="E18" s="7"/>
      <c r="F18" s="7">
        <v>2.53135233186602E-2</v>
      </c>
      <c r="G18" s="7">
        <v>1.4003957678995001E-3</v>
      </c>
      <c r="H18" s="7"/>
      <c r="I18" s="7">
        <v>3.9731000000000002E-2</v>
      </c>
      <c r="J18" s="7">
        <v>2.1979999999999999E-3</v>
      </c>
      <c r="K18" s="7">
        <v>22008.425999999999</v>
      </c>
      <c r="L18" s="7">
        <v>7.1316154094799897E-2</v>
      </c>
    </row>
    <row r="19" spans="1:12" x14ac:dyDescent="0.3">
      <c r="A19" s="11">
        <v>2007</v>
      </c>
      <c r="B19" s="14" t="s">
        <v>99</v>
      </c>
      <c r="C19" s="14" t="s">
        <v>100</v>
      </c>
      <c r="D19" s="7">
        <v>575.72299999999996</v>
      </c>
      <c r="E19" s="7"/>
      <c r="F19" s="7">
        <v>2.67541856066199E-2</v>
      </c>
      <c r="G19" s="7">
        <v>1.4798783442732E-3</v>
      </c>
      <c r="H19" s="7"/>
      <c r="I19" s="7">
        <v>1.5403E-2</v>
      </c>
      <c r="J19" s="7">
        <v>8.52E-4</v>
      </c>
      <c r="K19" s="7">
        <v>21991.576000000001</v>
      </c>
      <c r="L19" s="7">
        <v>2.61792515461375E-2</v>
      </c>
    </row>
    <row r="20" spans="1:12" x14ac:dyDescent="0.3">
      <c r="A20" s="11">
        <v>2008</v>
      </c>
      <c r="B20" s="14" t="s">
        <v>99</v>
      </c>
      <c r="C20" s="14" t="s">
        <v>100</v>
      </c>
      <c r="D20" s="7">
        <v>802.05229999999995</v>
      </c>
      <c r="E20" s="7"/>
      <c r="F20" s="7">
        <v>2.93783834296093E-2</v>
      </c>
      <c r="G20" s="7">
        <v>1.6245823370870001E-3</v>
      </c>
      <c r="H20" s="7"/>
      <c r="I20" s="7">
        <v>2.3563000000000001E-2</v>
      </c>
      <c r="J20" s="7">
        <v>1.3029999999999999E-3</v>
      </c>
      <c r="K20" s="7">
        <v>21975.690999999999</v>
      </c>
      <c r="L20" s="7">
        <v>3.6497250530142598E-2</v>
      </c>
    </row>
    <row r="21" spans="1:12" x14ac:dyDescent="0.3">
      <c r="A21" s="11">
        <v>2009</v>
      </c>
      <c r="B21" s="14" t="s">
        <v>99</v>
      </c>
      <c r="C21" s="14" t="s">
        <v>100</v>
      </c>
      <c r="D21" s="7">
        <v>573.30370000000005</v>
      </c>
      <c r="E21" s="7"/>
      <c r="F21" s="7">
        <v>2.6352524848522699E-2</v>
      </c>
      <c r="G21" s="7">
        <v>1.45821490424709E-3</v>
      </c>
      <c r="H21" s="7"/>
      <c r="I21" s="7">
        <v>1.5108E-2</v>
      </c>
      <c r="J21" s="7">
        <v>8.3600000000000005E-4</v>
      </c>
      <c r="K21" s="7">
        <v>21959.251</v>
      </c>
      <c r="L21" s="7">
        <v>2.61076163299012E-2</v>
      </c>
    </row>
    <row r="22" spans="1:12" x14ac:dyDescent="0.3">
      <c r="A22" s="11">
        <v>2010</v>
      </c>
      <c r="B22" s="14" t="s">
        <v>99</v>
      </c>
      <c r="C22" s="14" t="s">
        <v>100</v>
      </c>
      <c r="D22" s="7">
        <v>528.79340000000002</v>
      </c>
      <c r="E22" s="7"/>
      <c r="F22" s="7">
        <v>2.8166009636277599E-2</v>
      </c>
      <c r="G22" s="7">
        <v>1.55826453204597E-3</v>
      </c>
      <c r="H22" s="7"/>
      <c r="I22" s="7">
        <v>1.4893999999999999E-2</v>
      </c>
      <c r="J22" s="7">
        <v>8.2399999999999997E-4</v>
      </c>
      <c r="K22" s="7">
        <v>21943.276000000002</v>
      </c>
      <c r="L22" s="7">
        <v>2.40981975526353E-2</v>
      </c>
    </row>
    <row r="23" spans="1:12" x14ac:dyDescent="0.3">
      <c r="A23" s="11">
        <v>2011</v>
      </c>
      <c r="B23" s="14" t="s">
        <v>99</v>
      </c>
      <c r="C23" s="14" t="s">
        <v>100</v>
      </c>
      <c r="D23" s="7">
        <v>1468.2989</v>
      </c>
      <c r="E23" s="7"/>
      <c r="F23" s="7">
        <v>2.2994636854934601E-2</v>
      </c>
      <c r="G23" s="7">
        <v>1.2722205267605899E-3</v>
      </c>
      <c r="H23" s="7"/>
      <c r="I23" s="7">
        <v>3.3763000000000001E-2</v>
      </c>
      <c r="J23" s="7">
        <v>1.8680000000000001E-3</v>
      </c>
      <c r="K23" s="7">
        <v>21928.205000000002</v>
      </c>
      <c r="L23" s="7">
        <v>6.6959374923756906E-2</v>
      </c>
    </row>
    <row r="24" spans="1:12" x14ac:dyDescent="0.3">
      <c r="A24" s="11">
        <v>2012</v>
      </c>
      <c r="B24" s="14" t="s">
        <v>99</v>
      </c>
      <c r="C24" s="14" t="s">
        <v>100</v>
      </c>
      <c r="D24" s="7">
        <v>114.0613</v>
      </c>
      <c r="E24" s="7"/>
      <c r="F24" s="7">
        <v>2.7099463183393499E-2</v>
      </c>
      <c r="G24" s="7">
        <v>1.49919385453261E-3</v>
      </c>
      <c r="H24" s="7"/>
      <c r="I24" s="7">
        <v>3.091E-3</v>
      </c>
      <c r="J24" s="7">
        <v>1.7100000000000001E-4</v>
      </c>
      <c r="K24" s="7">
        <v>21915.599999999999</v>
      </c>
      <c r="L24" s="7">
        <v>5.2045711730456801E-3</v>
      </c>
    </row>
    <row r="25" spans="1:12" x14ac:dyDescent="0.3">
      <c r="A25" s="11">
        <v>2013</v>
      </c>
      <c r="B25" s="14" t="s">
        <v>99</v>
      </c>
      <c r="C25" s="14" t="s">
        <v>100</v>
      </c>
      <c r="D25" s="7">
        <v>582.22239999999999</v>
      </c>
      <c r="E25" s="7"/>
      <c r="F25" s="7">
        <v>2.5528045640291399E-2</v>
      </c>
      <c r="G25" s="7">
        <v>1.41183162997508E-3</v>
      </c>
      <c r="H25" s="7"/>
      <c r="I25" s="7">
        <v>1.4862999999999999E-2</v>
      </c>
      <c r="J25" s="7">
        <v>8.2200000000000003E-4</v>
      </c>
      <c r="K25" s="7">
        <v>21904.484</v>
      </c>
      <c r="L25" s="7">
        <v>2.6580055480877801E-2</v>
      </c>
    </row>
    <row r="26" spans="1:12" x14ac:dyDescent="0.3">
      <c r="A26" s="11">
        <v>2014</v>
      </c>
      <c r="B26" s="14" t="s">
        <v>99</v>
      </c>
      <c r="C26" s="14" t="s">
        <v>100</v>
      </c>
      <c r="D26" s="7">
        <v>898.34320000000002</v>
      </c>
      <c r="E26" s="7"/>
      <c r="F26" s="7">
        <v>2.8831965333516198E-2</v>
      </c>
      <c r="G26" s="7">
        <v>1.5951587322083601E-3</v>
      </c>
      <c r="H26" s="7"/>
      <c r="I26" s="7">
        <v>2.5901E-2</v>
      </c>
      <c r="J26" s="7">
        <v>1.433E-3</v>
      </c>
      <c r="K26" s="7">
        <v>21894.473000000002</v>
      </c>
      <c r="L26" s="7">
        <v>4.1030592515289101E-2</v>
      </c>
    </row>
    <row r="27" spans="1:12" x14ac:dyDescent="0.3">
      <c r="A27" s="11">
        <v>2015</v>
      </c>
      <c r="B27" s="14" t="s">
        <v>99</v>
      </c>
      <c r="C27" s="14" t="s">
        <v>100</v>
      </c>
      <c r="D27" s="7">
        <v>145.82320000000001</v>
      </c>
      <c r="E27" s="7"/>
      <c r="F27" s="7">
        <v>3.1394181447122298E-2</v>
      </c>
      <c r="G27" s="7">
        <v>1.73497769902183E-3</v>
      </c>
      <c r="H27" s="7"/>
      <c r="I27" s="7">
        <v>4.5779999999999996E-3</v>
      </c>
      <c r="J27" s="7">
        <v>2.5300000000000002E-4</v>
      </c>
      <c r="K27" s="7">
        <v>21886.741999999998</v>
      </c>
      <c r="L27" s="7">
        <v>6.6626270826420902E-3</v>
      </c>
    </row>
    <row r="28" spans="1:12" x14ac:dyDescent="0.3">
      <c r="A28" s="11">
        <v>2016</v>
      </c>
      <c r="B28" s="14" t="s">
        <v>99</v>
      </c>
      <c r="C28" s="14" t="s">
        <v>100</v>
      </c>
      <c r="D28" s="7">
        <v>330.10899999999998</v>
      </c>
      <c r="E28" s="7"/>
      <c r="F28" s="7">
        <v>3.1516862612046302E-2</v>
      </c>
      <c r="G28" s="7">
        <v>1.7448782068953E-3</v>
      </c>
      <c r="H28" s="7"/>
      <c r="I28" s="7">
        <v>1.0404E-2</v>
      </c>
      <c r="J28" s="7">
        <v>5.7600000000000001E-4</v>
      </c>
      <c r="K28" s="7">
        <v>21879.940999999999</v>
      </c>
      <c r="L28" s="7">
        <v>1.50872893121604E-2</v>
      </c>
    </row>
    <row r="29" spans="1:12" x14ac:dyDescent="0.3">
      <c r="A29" s="11">
        <v>2017</v>
      </c>
      <c r="B29" s="14" t="s">
        <v>99</v>
      </c>
      <c r="C29" s="14" t="s">
        <v>100</v>
      </c>
      <c r="D29" s="7">
        <v>451.11419999999998</v>
      </c>
      <c r="E29" s="7"/>
      <c r="F29" s="7">
        <v>3.0843631169224998E-2</v>
      </c>
      <c r="G29" s="7">
        <v>1.70688486418738E-3</v>
      </c>
      <c r="H29" s="7"/>
      <c r="I29" s="7">
        <v>1.3913999999999999E-2</v>
      </c>
      <c r="J29" s="7">
        <v>7.6999999999999996E-4</v>
      </c>
      <c r="K29" s="7">
        <v>21873.181</v>
      </c>
      <c r="L29" s="7">
        <v>2.062407840908E-2</v>
      </c>
    </row>
    <row r="30" spans="1:12" x14ac:dyDescent="0.3">
      <c r="A30" s="11">
        <v>2018</v>
      </c>
      <c r="B30" s="14" t="s">
        <v>99</v>
      </c>
      <c r="C30" s="14" t="s">
        <v>100</v>
      </c>
      <c r="D30" s="7">
        <v>1233.9072000000001</v>
      </c>
      <c r="E30" s="7"/>
      <c r="F30" s="7">
        <v>2.88084873805745E-2</v>
      </c>
      <c r="G30" s="7">
        <v>1.5933126899656601E-3</v>
      </c>
      <c r="H30" s="7"/>
      <c r="I30" s="7">
        <v>3.5547000000000002E-2</v>
      </c>
      <c r="J30" s="7">
        <v>1.9659999999999999E-3</v>
      </c>
      <c r="K30" s="7">
        <v>21866.091</v>
      </c>
      <c r="L30" s="7">
        <v>5.6430168519832798E-2</v>
      </c>
    </row>
    <row r="31" spans="1:12" x14ac:dyDescent="0.3">
      <c r="A31" s="11">
        <v>2019</v>
      </c>
      <c r="B31" s="14" t="s">
        <v>99</v>
      </c>
      <c r="C31" s="14" t="s">
        <v>100</v>
      </c>
      <c r="D31" s="7">
        <v>578.85580000000004</v>
      </c>
      <c r="E31" s="7"/>
      <c r="F31" s="7">
        <v>3.0194048327752802E-2</v>
      </c>
      <c r="G31" s="7">
        <v>1.6705369454707E-3</v>
      </c>
      <c r="H31" s="7"/>
      <c r="I31" s="7">
        <v>1.7478E-2</v>
      </c>
      <c r="J31" s="7">
        <v>9.6699999999999998E-4</v>
      </c>
      <c r="K31" s="7">
        <v>21859.757000000001</v>
      </c>
      <c r="L31" s="7">
        <v>2.6480431598576298E-2</v>
      </c>
    </row>
    <row r="32" spans="1:12" x14ac:dyDescent="0.3">
      <c r="A32" s="11">
        <v>2020</v>
      </c>
      <c r="B32" s="14" t="s">
        <v>99</v>
      </c>
      <c r="C32" s="14" t="s">
        <v>100</v>
      </c>
      <c r="D32" s="7">
        <v>733.5308</v>
      </c>
      <c r="E32" s="7"/>
      <c r="F32" s="7">
        <v>2.7833868734618902E-2</v>
      </c>
      <c r="G32" s="7">
        <v>1.53913100854115E-3</v>
      </c>
      <c r="H32" s="7"/>
      <c r="I32" s="7">
        <v>2.0417000000000001E-2</v>
      </c>
      <c r="J32" s="7">
        <v>1.129E-3</v>
      </c>
      <c r="K32" s="7">
        <v>21853.155999999999</v>
      </c>
      <c r="L32" s="7">
        <v>3.3566355358466297E-2</v>
      </c>
    </row>
    <row r="33" spans="1:12" x14ac:dyDescent="0.3">
      <c r="A33" s="11">
        <v>2021</v>
      </c>
      <c r="B33" s="14" t="s">
        <v>99</v>
      </c>
      <c r="C33" s="14" t="s">
        <v>100</v>
      </c>
      <c r="D33" s="7">
        <v>796.59979999999996</v>
      </c>
      <c r="E33" s="7"/>
      <c r="F33" s="7">
        <v>2.7471761855827701E-2</v>
      </c>
      <c r="G33" s="7">
        <v>1.52021127798425E-3</v>
      </c>
      <c r="H33" s="7"/>
      <c r="I33" s="7">
        <v>2.1884000000000001E-2</v>
      </c>
      <c r="J33" s="7">
        <v>1.2110000000000001E-3</v>
      </c>
      <c r="K33" s="7">
        <v>21847.403999999999</v>
      </c>
      <c r="L33" s="7">
        <v>3.6461988801964801E-2</v>
      </c>
    </row>
    <row r="34" spans="1:12" x14ac:dyDescent="0.3">
      <c r="A34" s="11">
        <v>2022</v>
      </c>
      <c r="B34" s="14" t="s">
        <v>99</v>
      </c>
      <c r="C34" s="14" t="s">
        <v>100</v>
      </c>
      <c r="D34" s="7">
        <v>240.40110000000001</v>
      </c>
      <c r="E34" s="7"/>
      <c r="F34" s="7">
        <v>2.85273237102492E-2</v>
      </c>
      <c r="G34" s="7">
        <v>1.5765318877492701E-3</v>
      </c>
      <c r="H34" s="7"/>
      <c r="I34" s="7">
        <v>6.8580000000000004E-3</v>
      </c>
      <c r="J34" s="7">
        <v>3.79E-4</v>
      </c>
      <c r="K34" s="7">
        <v>21842.264999999999</v>
      </c>
      <c r="L34" s="7">
        <v>1.1006234930306001E-2</v>
      </c>
    </row>
    <row r="35" spans="1:12" x14ac:dyDescent="0.3">
      <c r="A35" s="11">
        <v>2023</v>
      </c>
      <c r="B35" s="14" t="s">
        <v>99</v>
      </c>
      <c r="C35" s="14" t="s">
        <v>100</v>
      </c>
      <c r="D35" s="7">
        <v>391.41090000000003</v>
      </c>
      <c r="E35" s="7"/>
      <c r="F35" s="7">
        <v>3.1056876545849901E-2</v>
      </c>
      <c r="G35" s="7">
        <v>1.71686583076762E-3</v>
      </c>
      <c r="H35" s="7"/>
      <c r="I35" s="7">
        <v>1.2156E-2</v>
      </c>
      <c r="J35" s="7">
        <v>6.7199999999999996E-4</v>
      </c>
      <c r="K35" s="7">
        <v>21837.697</v>
      </c>
      <c r="L35" s="7">
        <v>1.7923634529776699E-2</v>
      </c>
    </row>
    <row r="36" spans="1:12" x14ac:dyDescent="0.3">
      <c r="A36" s="12">
        <v>2024</v>
      </c>
      <c r="B36" s="5" t="s">
        <v>99</v>
      </c>
      <c r="C36" s="5" t="s">
        <v>100</v>
      </c>
      <c r="D36" s="8">
        <v>413.05059999999997</v>
      </c>
      <c r="E36" s="8"/>
      <c r="F36" s="8">
        <v>3.0715365139283201E-2</v>
      </c>
      <c r="G36" s="8">
        <v>1.6995496435545699E-3</v>
      </c>
      <c r="H36" s="8"/>
      <c r="I36" s="8">
        <v>1.2687E-2</v>
      </c>
      <c r="J36" s="8">
        <v>7.0200000000000004E-4</v>
      </c>
      <c r="K36" s="8">
        <v>21834.414000000001</v>
      </c>
      <c r="L36" s="8">
        <v>1.8917411751925201E-2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.77734375" customWidth="1"/>
    <col min="2" max="2" width="10.109375" customWidth="1"/>
    <col min="3" max="3" width="4.109375" customWidth="1"/>
    <col min="4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/>
      <c r="C2" s="13"/>
      <c r="D2" s="6">
        <v>89661.255619191899</v>
      </c>
      <c r="E2" s="6">
        <v>41.432230894354603</v>
      </c>
      <c r="F2" s="6">
        <v>7.7923963300105495E-2</v>
      </c>
      <c r="G2" s="6">
        <v>4.3990166078572797E-3</v>
      </c>
      <c r="H2" s="6">
        <v>3714.8658450921098</v>
      </c>
      <c r="I2" s="6">
        <v>6.9867603923112904</v>
      </c>
      <c r="J2" s="6">
        <v>0.39442135255016197</v>
      </c>
      <c r="K2" s="6">
        <v>24964.7035363164</v>
      </c>
      <c r="L2" s="6">
        <v>3.59152094431087</v>
      </c>
    </row>
    <row r="3" spans="1:12" x14ac:dyDescent="0.3">
      <c r="A3" s="11">
        <v>1991</v>
      </c>
      <c r="B3" s="14"/>
      <c r="C3" s="14"/>
      <c r="D3" s="7">
        <v>27146.8856191919</v>
      </c>
      <c r="E3" s="7">
        <v>59.067019509399003</v>
      </c>
      <c r="F3" s="7">
        <v>0.12385079577665201</v>
      </c>
      <c r="G3" s="7">
        <v>7.1462930749425701E-3</v>
      </c>
      <c r="H3" s="7">
        <v>1603.4856224882301</v>
      </c>
      <c r="I3" s="7">
        <v>3.3621633867946601</v>
      </c>
      <c r="J3" s="7">
        <v>0.19399960070668901</v>
      </c>
      <c r="K3" s="7">
        <v>25016.895630303199</v>
      </c>
      <c r="L3" s="7">
        <v>1.08514205840586</v>
      </c>
    </row>
    <row r="4" spans="1:12" x14ac:dyDescent="0.3">
      <c r="A4" s="11">
        <v>1992</v>
      </c>
      <c r="B4" s="14"/>
      <c r="C4" s="14"/>
      <c r="D4" s="7">
        <v>33628.965619191898</v>
      </c>
      <c r="E4" s="7">
        <v>51.320024352620301</v>
      </c>
      <c r="F4" s="7">
        <v>0.111002839087347</v>
      </c>
      <c r="G4" s="7">
        <v>6.37612445571466E-3</v>
      </c>
      <c r="H4" s="7">
        <v>1725.83933453036</v>
      </c>
      <c r="I4" s="7">
        <v>3.7329106593010901</v>
      </c>
      <c r="J4" s="7">
        <v>0.214422470104917</v>
      </c>
      <c r="K4" s="7">
        <v>25069.632224290101</v>
      </c>
      <c r="L4" s="7">
        <v>1.3414223758180499</v>
      </c>
    </row>
    <row r="5" spans="1:12" x14ac:dyDescent="0.3">
      <c r="A5" s="11">
        <v>1993</v>
      </c>
      <c r="B5" s="14"/>
      <c r="C5" s="14"/>
      <c r="D5" s="7">
        <v>33722.385619191897</v>
      </c>
      <c r="E5" s="7">
        <v>52.584808400097799</v>
      </c>
      <c r="F5" s="7">
        <v>0.111410732724705</v>
      </c>
      <c r="G5" s="7">
        <v>6.3995940287780101E-3</v>
      </c>
      <c r="H5" s="7">
        <v>1773.28518657942</v>
      </c>
      <c r="I5" s="7">
        <v>3.7570356910592402</v>
      </c>
      <c r="J5" s="7">
        <v>0.21580957764472999</v>
      </c>
      <c r="K5" s="7">
        <v>25122.118318276898</v>
      </c>
      <c r="L5" s="7">
        <v>1.34233846015517</v>
      </c>
    </row>
    <row r="6" spans="1:12" x14ac:dyDescent="0.3">
      <c r="A6" s="11">
        <v>1994</v>
      </c>
      <c r="B6" s="14"/>
      <c r="C6" s="14"/>
      <c r="D6" s="7">
        <v>42009.305619191902</v>
      </c>
      <c r="E6" s="7">
        <v>45.641599619441998</v>
      </c>
      <c r="F6" s="7">
        <v>9.8417560052936906E-2</v>
      </c>
      <c r="G6" s="7">
        <v>5.63526878284238E-3</v>
      </c>
      <c r="H6" s="7">
        <v>1917.37190736193</v>
      </c>
      <c r="I6" s="7">
        <v>4.134453358559</v>
      </c>
      <c r="J6" s="7">
        <v>0.236733728544717</v>
      </c>
      <c r="K6" s="7">
        <v>25174.964162263899</v>
      </c>
      <c r="L6" s="7">
        <v>1.6686937605322201</v>
      </c>
    </row>
    <row r="7" spans="1:12" x14ac:dyDescent="0.3">
      <c r="A7" s="11">
        <v>1995</v>
      </c>
      <c r="B7" s="14"/>
      <c r="C7" s="14"/>
      <c r="D7" s="7">
        <v>35184.785619191898</v>
      </c>
      <c r="E7" s="7">
        <v>53.9842998384051</v>
      </c>
      <c r="F7" s="7">
        <v>0.11173661610643799</v>
      </c>
      <c r="G7" s="7">
        <v>6.4047771019312399E-3</v>
      </c>
      <c r="H7" s="7">
        <v>1899.4260166164599</v>
      </c>
      <c r="I7" s="7">
        <v>3.9314288835189499</v>
      </c>
      <c r="J7" s="7">
        <v>0.22535070927015999</v>
      </c>
      <c r="K7" s="7">
        <v>25227.628256250799</v>
      </c>
      <c r="L7" s="7">
        <v>1.39469256728381</v>
      </c>
    </row>
    <row r="8" spans="1:12" x14ac:dyDescent="0.3">
      <c r="A8" s="11">
        <v>1996</v>
      </c>
      <c r="B8" s="14"/>
      <c r="C8" s="14"/>
      <c r="D8" s="7">
        <v>28883.575619191899</v>
      </c>
      <c r="E8" s="7">
        <v>59.662374004420201</v>
      </c>
      <c r="F8" s="7">
        <v>0.12638914847589899</v>
      </c>
      <c r="G8" s="7">
        <v>7.19567952536864E-3</v>
      </c>
      <c r="H8" s="7">
        <v>1723.2626911771799</v>
      </c>
      <c r="I8" s="7">
        <v>3.6505705274489002</v>
      </c>
      <c r="J8" s="7">
        <v>0.207836953702456</v>
      </c>
      <c r="K8" s="7">
        <v>25280.935850237602</v>
      </c>
      <c r="L8" s="7">
        <v>1.1425042091122</v>
      </c>
    </row>
    <row r="9" spans="1:12" x14ac:dyDescent="0.3">
      <c r="A9" s="11">
        <v>1997</v>
      </c>
      <c r="B9" s="14"/>
      <c r="C9" s="14"/>
      <c r="D9" s="7">
        <v>38577.305619191902</v>
      </c>
      <c r="E9" s="7">
        <v>52.4015735435731</v>
      </c>
      <c r="F9" s="7">
        <v>0.106608330405061</v>
      </c>
      <c r="G9" s="7">
        <v>6.1074745420952297E-3</v>
      </c>
      <c r="H9" s="7">
        <v>2021.5115175169799</v>
      </c>
      <c r="I9" s="7">
        <v>4.1126621435878103</v>
      </c>
      <c r="J9" s="7">
        <v>0.235609911971842</v>
      </c>
      <c r="K9" s="7">
        <v>25334.4264442245</v>
      </c>
      <c r="L9" s="7">
        <v>1.52272267557043</v>
      </c>
    </row>
    <row r="10" spans="1:12" x14ac:dyDescent="0.3">
      <c r="A10" s="11">
        <v>1998</v>
      </c>
      <c r="B10" s="14"/>
      <c r="C10" s="14"/>
      <c r="D10" s="7">
        <v>36374.6156191919</v>
      </c>
      <c r="E10" s="7">
        <v>52.800546459432503</v>
      </c>
      <c r="F10" s="7">
        <v>0.10967875176148199</v>
      </c>
      <c r="G10" s="7">
        <v>6.2780327782591804E-3</v>
      </c>
      <c r="H10" s="7">
        <v>1920.59958194514</v>
      </c>
      <c r="I10" s="7">
        <v>3.98952243691669</v>
      </c>
      <c r="J10" s="7">
        <v>0.228361029153865</v>
      </c>
      <c r="K10" s="7">
        <v>25388.990145354201</v>
      </c>
      <c r="L10" s="7">
        <v>1.4326924943034001</v>
      </c>
    </row>
    <row r="11" spans="1:12" x14ac:dyDescent="0.3">
      <c r="A11" s="11">
        <v>1999</v>
      </c>
      <c r="B11" s="14"/>
      <c r="C11" s="14"/>
      <c r="D11" s="7">
        <v>33695.485619191903</v>
      </c>
      <c r="E11" s="7">
        <v>52.704942349658303</v>
      </c>
      <c r="F11" s="7">
        <v>0.112656743683793</v>
      </c>
      <c r="G11" s="7">
        <v>6.3657065575347003E-3</v>
      </c>
      <c r="H11" s="7">
        <v>1775.9186270032501</v>
      </c>
      <c r="I11" s="7">
        <v>3.7960236867022399</v>
      </c>
      <c r="J11" s="7">
        <v>0.21449557376540601</v>
      </c>
      <c r="K11" s="7">
        <v>25443.5695964839</v>
      </c>
      <c r="L11" s="7">
        <v>1.3243222611283401</v>
      </c>
    </row>
    <row r="12" spans="1:12" x14ac:dyDescent="0.3">
      <c r="A12" s="11">
        <v>2000</v>
      </c>
      <c r="B12" s="14"/>
      <c r="C12" s="14"/>
      <c r="D12" s="7">
        <v>27025.234255555599</v>
      </c>
      <c r="E12" s="7">
        <v>32.921051936159401</v>
      </c>
      <c r="F12" s="7">
        <v>6.7948305674620194E-2</v>
      </c>
      <c r="G12" s="7">
        <v>3.6589557861168701E-3</v>
      </c>
      <c r="H12" s="7">
        <v>889.69914051401895</v>
      </c>
      <c r="I12" s="7">
        <v>1.83631887812471</v>
      </c>
      <c r="J12" s="7">
        <v>9.8884137250528997E-2</v>
      </c>
      <c r="K12" s="7">
        <v>25498.222047613701</v>
      </c>
      <c r="L12" s="7">
        <v>1.0598870072231099</v>
      </c>
    </row>
    <row r="13" spans="1:12" x14ac:dyDescent="0.3">
      <c r="A13" s="11">
        <v>2001</v>
      </c>
      <c r="B13" s="14"/>
      <c r="C13" s="14"/>
      <c r="D13" s="7">
        <v>27768.414255555599</v>
      </c>
      <c r="E13" s="7">
        <v>39.759659760805803</v>
      </c>
      <c r="F13" s="7">
        <v>8.10185874824038E-2</v>
      </c>
      <c r="G13" s="7">
        <v>4.4861309137167599E-3</v>
      </c>
      <c r="H13" s="7">
        <v>1104.062702898</v>
      </c>
      <c r="I13" s="7">
        <v>2.2497576996113602</v>
      </c>
      <c r="J13" s="7">
        <v>0.12457274161674101</v>
      </c>
      <c r="K13" s="7">
        <v>25554.786448743402</v>
      </c>
      <c r="L13" s="7">
        <v>1.0866228254832899</v>
      </c>
    </row>
    <row r="14" spans="1:12" x14ac:dyDescent="0.3">
      <c r="A14" s="11">
        <v>2002</v>
      </c>
      <c r="B14" s="14"/>
      <c r="C14" s="14"/>
      <c r="D14" s="7">
        <v>69574.000555555598</v>
      </c>
      <c r="E14" s="7">
        <v>61.151391739426103</v>
      </c>
      <c r="F14" s="7">
        <v>0.12530482982034299</v>
      </c>
      <c r="G14" s="7">
        <v>7.3131298454301597E-3</v>
      </c>
      <c r="H14" s="7">
        <v>4254.5469628518304</v>
      </c>
      <c r="I14" s="7">
        <v>8.7179582995343292</v>
      </c>
      <c r="J14" s="7">
        <v>0.50880369992880803</v>
      </c>
      <c r="K14" s="7">
        <v>25611.350349873101</v>
      </c>
      <c r="L14" s="7">
        <v>2.7165299605493201</v>
      </c>
    </row>
    <row r="15" spans="1:12" x14ac:dyDescent="0.3">
      <c r="A15" s="11">
        <v>2003</v>
      </c>
      <c r="B15" s="14"/>
      <c r="C15" s="14"/>
      <c r="D15" s="7">
        <v>92433.138555555604</v>
      </c>
      <c r="E15" s="7">
        <v>39.875675331107203</v>
      </c>
      <c r="F15" s="7">
        <v>7.9150474335221904E-2</v>
      </c>
      <c r="G15" s="7">
        <v>4.4662060794598904E-3</v>
      </c>
      <c r="H15" s="7">
        <v>3685.8338228765801</v>
      </c>
      <c r="I15" s="7">
        <v>7.3161267609655098</v>
      </c>
      <c r="J15" s="7">
        <v>0.41282544536038102</v>
      </c>
      <c r="K15" s="7">
        <v>25668.091751002899</v>
      </c>
      <c r="L15" s="7">
        <v>3.60109117001049</v>
      </c>
    </row>
    <row r="16" spans="1:12" x14ac:dyDescent="0.3">
      <c r="A16" s="11">
        <v>2004</v>
      </c>
      <c r="B16" s="14"/>
      <c r="C16" s="14"/>
      <c r="D16" s="7">
        <v>48160.954555555603</v>
      </c>
      <c r="E16" s="7">
        <v>62.406086309103401</v>
      </c>
      <c r="F16" s="7">
        <v>0.13681274561659101</v>
      </c>
      <c r="G16" s="7">
        <v>7.7679527201734502E-3</v>
      </c>
      <c r="H16" s="7">
        <v>3005.5366867228099</v>
      </c>
      <c r="I16" s="7">
        <v>6.5890324242614096</v>
      </c>
      <c r="J16" s="7">
        <v>0.37411201794597798</v>
      </c>
      <c r="K16" s="7">
        <v>25725.582902132599</v>
      </c>
      <c r="L16" s="7">
        <v>1.87210352973433</v>
      </c>
    </row>
    <row r="17" spans="1:12" x14ac:dyDescent="0.3">
      <c r="A17" s="11">
        <v>2005</v>
      </c>
      <c r="B17" s="14"/>
      <c r="C17" s="14"/>
      <c r="D17" s="7">
        <v>40796.541555555603</v>
      </c>
      <c r="E17" s="7">
        <v>47.489817398979099</v>
      </c>
      <c r="F17" s="7">
        <v>0.101879158379409</v>
      </c>
      <c r="G17" s="7">
        <v>5.5544681132769103E-3</v>
      </c>
      <c r="H17" s="7">
        <v>1937.4203089831999</v>
      </c>
      <c r="I17" s="7">
        <v>4.1563173184705899</v>
      </c>
      <c r="J17" s="7">
        <v>0.22660308920231001</v>
      </c>
      <c r="K17" s="7">
        <v>25793.723303262301</v>
      </c>
      <c r="L17" s="7">
        <v>1.58164608792232</v>
      </c>
    </row>
    <row r="18" spans="1:12" x14ac:dyDescent="0.3">
      <c r="A18" s="11">
        <v>2006</v>
      </c>
      <c r="B18" s="14"/>
      <c r="C18" s="14"/>
      <c r="D18" s="7">
        <v>22306.241355555601</v>
      </c>
      <c r="E18" s="7">
        <v>59.895782701197298</v>
      </c>
      <c r="F18" s="7">
        <v>0.12981692963008801</v>
      </c>
      <c r="G18" s="7">
        <v>7.5725718808168398E-3</v>
      </c>
      <c r="H18" s="7">
        <v>1336.04978511282</v>
      </c>
      <c r="I18" s="7">
        <v>2.8957277643659198</v>
      </c>
      <c r="J18" s="7">
        <v>0.168915616055794</v>
      </c>
      <c r="K18" s="7">
        <v>25861.197504391999</v>
      </c>
      <c r="L18" s="7">
        <v>0.86253706355892201</v>
      </c>
    </row>
    <row r="19" spans="1:12" x14ac:dyDescent="0.3">
      <c r="A19" s="11">
        <v>2007</v>
      </c>
      <c r="B19" s="14"/>
      <c r="C19" s="14"/>
      <c r="D19" s="7">
        <v>13041.796255555601</v>
      </c>
      <c r="E19" s="7">
        <v>49.5246948751739</v>
      </c>
      <c r="F19" s="7">
        <v>0.102999192297046</v>
      </c>
      <c r="G19" s="7">
        <v>5.8822085819438203E-3</v>
      </c>
      <c r="H19" s="7">
        <v>645.890980180577</v>
      </c>
      <c r="I19" s="7">
        <v>1.3432944804248701</v>
      </c>
      <c r="J19" s="7">
        <v>7.6714565858391995E-2</v>
      </c>
      <c r="K19" s="7">
        <v>25922.3669555218</v>
      </c>
      <c r="L19" s="7">
        <v>0.50310977689394698</v>
      </c>
    </row>
    <row r="20" spans="1:12" x14ac:dyDescent="0.3">
      <c r="A20" s="11">
        <v>2008</v>
      </c>
      <c r="B20" s="14"/>
      <c r="C20" s="14"/>
      <c r="D20" s="7">
        <v>12407.412655555599</v>
      </c>
      <c r="E20" s="7">
        <v>39.655486864620102</v>
      </c>
      <c r="F20" s="7">
        <v>0.100779977012671</v>
      </c>
      <c r="G20" s="7">
        <v>4.8262392941819596E-3</v>
      </c>
      <c r="H20" s="7">
        <v>492.02198958630601</v>
      </c>
      <c r="I20" s="7">
        <v>1.25041876221362</v>
      </c>
      <c r="J20" s="7">
        <v>5.9881142497373002E-2</v>
      </c>
      <c r="K20" s="7">
        <v>25984.0139066515</v>
      </c>
      <c r="L20" s="7">
        <v>0.47750177090151202</v>
      </c>
    </row>
    <row r="21" spans="1:12" x14ac:dyDescent="0.3">
      <c r="A21" s="11">
        <v>2009</v>
      </c>
      <c r="B21" s="14"/>
      <c r="C21" s="14"/>
      <c r="D21" s="7">
        <v>27940.521155555602</v>
      </c>
      <c r="E21" s="7">
        <v>47.097843503599201</v>
      </c>
      <c r="F21" s="7">
        <v>0.103018196523739</v>
      </c>
      <c r="G21" s="7">
        <v>5.9127885449030701E-3</v>
      </c>
      <c r="H21" s="7">
        <v>1315.93829279336</v>
      </c>
      <c r="I21" s="7">
        <v>2.8783820993787099</v>
      </c>
      <c r="J21" s="7">
        <v>0.16520639342719101</v>
      </c>
      <c r="K21" s="7">
        <v>26045.321123595899</v>
      </c>
      <c r="L21" s="7">
        <v>1.0727654699654601</v>
      </c>
    </row>
    <row r="22" spans="1:12" x14ac:dyDescent="0.3">
      <c r="A22" s="11">
        <v>2010</v>
      </c>
      <c r="B22" s="14"/>
      <c r="C22" s="14"/>
      <c r="D22" s="7">
        <v>21261.480155555601</v>
      </c>
      <c r="E22" s="7">
        <v>53.624246071879703</v>
      </c>
      <c r="F22" s="7">
        <v>0.114948151404937</v>
      </c>
      <c r="G22" s="7">
        <v>6.3706535446175997E-3</v>
      </c>
      <c r="H22" s="7">
        <v>1140.1308437139</v>
      </c>
      <c r="I22" s="7">
        <v>2.44396784001386</v>
      </c>
      <c r="J22" s="7">
        <v>0.13544952391680701</v>
      </c>
      <c r="K22" s="7">
        <v>26105.6285905402</v>
      </c>
      <c r="L22" s="7">
        <v>0.81444045991139402</v>
      </c>
    </row>
    <row r="23" spans="1:12" x14ac:dyDescent="0.3">
      <c r="A23" s="11">
        <v>2011</v>
      </c>
      <c r="B23" s="14"/>
      <c r="C23" s="14"/>
      <c r="D23" s="7">
        <v>23398.440455555599</v>
      </c>
      <c r="E23" s="7">
        <v>60.614609637109801</v>
      </c>
      <c r="F23" s="7">
        <v>0.138136847925728</v>
      </c>
      <c r="G23" s="7">
        <v>7.5512432505143003E-3</v>
      </c>
      <c r="H23" s="7">
        <v>1418.2873343306601</v>
      </c>
      <c r="I23" s="7">
        <v>3.2321868109082801</v>
      </c>
      <c r="J23" s="7">
        <v>0.176687315562575</v>
      </c>
      <c r="K23" s="7">
        <v>26165.7410574846</v>
      </c>
      <c r="L23" s="7">
        <v>0.89423954797040095</v>
      </c>
    </row>
    <row r="24" spans="1:12" x14ac:dyDescent="0.3">
      <c r="A24" s="11">
        <v>2012</v>
      </c>
      <c r="B24" s="14"/>
      <c r="C24" s="14"/>
      <c r="D24" s="7">
        <v>14090.606955555601</v>
      </c>
      <c r="E24" s="7">
        <v>45.151801175938999</v>
      </c>
      <c r="F24" s="7">
        <v>9.4653756755255405E-2</v>
      </c>
      <c r="G24" s="7">
        <v>5.2171302818525304E-3</v>
      </c>
      <c r="H24" s="7">
        <v>636.21628370554902</v>
      </c>
      <c r="I24" s="7">
        <v>1.33372888330507</v>
      </c>
      <c r="J24" s="7">
        <v>7.3512532237511002E-2</v>
      </c>
      <c r="K24" s="7">
        <v>26225.058274429</v>
      </c>
      <c r="L24" s="7">
        <v>0.53729554413592195</v>
      </c>
    </row>
    <row r="25" spans="1:12" x14ac:dyDescent="0.3">
      <c r="A25" s="11">
        <v>2013</v>
      </c>
      <c r="B25" s="14"/>
      <c r="C25" s="14"/>
      <c r="D25" s="7">
        <v>15302.327300000001</v>
      </c>
      <c r="E25" s="7">
        <v>67.788691101929302</v>
      </c>
      <c r="F25" s="7">
        <v>0.14876340963773901</v>
      </c>
      <c r="G25" s="7">
        <v>8.66283451823514E-3</v>
      </c>
      <c r="H25" s="7">
        <v>1037.3247384803201</v>
      </c>
      <c r="I25" s="7">
        <v>2.2764263845406498</v>
      </c>
      <c r="J25" s="7">
        <v>0.13256152914377201</v>
      </c>
      <c r="K25" s="7">
        <v>26286.251241373298</v>
      </c>
      <c r="L25" s="7">
        <v>0.58214186418164005</v>
      </c>
    </row>
    <row r="26" spans="1:12" x14ac:dyDescent="0.3">
      <c r="A26" s="11">
        <v>2014</v>
      </c>
      <c r="B26" s="14"/>
      <c r="C26" s="14"/>
      <c r="D26" s="7">
        <v>22369.024855555599</v>
      </c>
      <c r="E26" s="7">
        <v>63.134877040117701</v>
      </c>
      <c r="F26" s="7">
        <v>0.13839457916501199</v>
      </c>
      <c r="G26" s="7">
        <v>8.0276978728719695E-3</v>
      </c>
      <c r="H26" s="7">
        <v>1412.26563376284</v>
      </c>
      <c r="I26" s="7">
        <v>3.0957517812163098</v>
      </c>
      <c r="J26" s="7">
        <v>0.179571773251164</v>
      </c>
      <c r="K26" s="7">
        <v>26348.093958317699</v>
      </c>
      <c r="L26" s="7">
        <v>0.84898076084528395</v>
      </c>
    </row>
    <row r="27" spans="1:12" x14ac:dyDescent="0.3">
      <c r="A27" s="11">
        <v>2015</v>
      </c>
      <c r="B27" s="14"/>
      <c r="C27" s="14"/>
      <c r="D27" s="7">
        <v>24598.681455555601</v>
      </c>
      <c r="E27" s="7">
        <v>63.2126246597415</v>
      </c>
      <c r="F27" s="7">
        <v>0.13826427121243201</v>
      </c>
      <c r="G27" s="7">
        <v>7.8907274824741198E-3</v>
      </c>
      <c r="H27" s="7">
        <v>1554.9472179745801</v>
      </c>
      <c r="I27" s="7">
        <v>3.40111876423917</v>
      </c>
      <c r="J27" s="7">
        <v>0.19410149179397901</v>
      </c>
      <c r="K27" s="7">
        <v>26409.515175262099</v>
      </c>
      <c r="L27" s="7">
        <v>0.93143252696275503</v>
      </c>
    </row>
    <row r="28" spans="1:12" x14ac:dyDescent="0.3">
      <c r="A28" s="11">
        <v>2016</v>
      </c>
      <c r="B28" s="14"/>
      <c r="C28" s="14"/>
      <c r="D28" s="7">
        <v>34082.8259555556</v>
      </c>
      <c r="E28" s="7">
        <v>53.333701008110801</v>
      </c>
      <c r="F28" s="7">
        <v>0.11453983017842299</v>
      </c>
      <c r="G28" s="7">
        <v>6.4468336790494902E-3</v>
      </c>
      <c r="H28" s="7">
        <v>1817.7632490250801</v>
      </c>
      <c r="I28" s="7">
        <v>3.9038410969500901</v>
      </c>
      <c r="J28" s="7">
        <v>0.21972631024745801</v>
      </c>
      <c r="K28" s="7">
        <v>26470.1780962064</v>
      </c>
      <c r="L28" s="7">
        <v>1.2875933751439399</v>
      </c>
    </row>
    <row r="29" spans="1:12" x14ac:dyDescent="0.3">
      <c r="A29" s="11">
        <v>2017</v>
      </c>
      <c r="B29" s="14"/>
      <c r="C29" s="14"/>
      <c r="D29" s="7">
        <v>61227.120955555598</v>
      </c>
      <c r="E29" s="7">
        <v>59.762484157202501</v>
      </c>
      <c r="F29" s="7">
        <v>0.124370077825674</v>
      </c>
      <c r="G29" s="7">
        <v>7.3376904325894096E-3</v>
      </c>
      <c r="H29" s="7">
        <v>3659.0848460975099</v>
      </c>
      <c r="I29" s="7">
        <v>7.61482179828438</v>
      </c>
      <c r="J29" s="7">
        <v>0.44926565965057502</v>
      </c>
      <c r="K29" s="7">
        <v>26531.308267150798</v>
      </c>
      <c r="L29" s="7">
        <v>2.3077309395768699</v>
      </c>
    </row>
    <row r="30" spans="1:12" x14ac:dyDescent="0.3">
      <c r="A30" s="11">
        <v>2018</v>
      </c>
      <c r="B30" s="14"/>
      <c r="C30" s="14"/>
      <c r="D30" s="7">
        <v>15930.478755555599</v>
      </c>
      <c r="E30" s="7">
        <v>58.838557688778003</v>
      </c>
      <c r="F30" s="7">
        <v>0.128113425188114</v>
      </c>
      <c r="G30" s="7">
        <v>7.4460057695921403E-3</v>
      </c>
      <c r="H30" s="7">
        <v>937.32639326860999</v>
      </c>
      <c r="I30" s="7">
        <v>2.04090819826071</v>
      </c>
      <c r="J30" s="7">
        <v>0.118618436726232</v>
      </c>
      <c r="K30" s="7">
        <v>26592.105438095201</v>
      </c>
      <c r="L30" s="7">
        <v>0.59906797499132902</v>
      </c>
    </row>
    <row r="31" spans="1:12" x14ac:dyDescent="0.3">
      <c r="A31" s="11">
        <v>2019</v>
      </c>
      <c r="B31" s="14"/>
      <c r="C31" s="14"/>
      <c r="D31" s="7">
        <v>54794.182255555599</v>
      </c>
      <c r="E31" s="7">
        <v>64.559365386242902</v>
      </c>
      <c r="F31" s="7">
        <v>0.14015809673101501</v>
      </c>
      <c r="G31" s="7">
        <v>8.1407870805520807E-3</v>
      </c>
      <c r="H31" s="7">
        <v>3537.4776332768001</v>
      </c>
      <c r="I31" s="7">
        <v>7.6798482968710298</v>
      </c>
      <c r="J31" s="7">
        <v>0.44606777099544298</v>
      </c>
      <c r="K31" s="7">
        <v>26652.959859039602</v>
      </c>
      <c r="L31" s="7">
        <v>2.0558385464634101</v>
      </c>
    </row>
    <row r="32" spans="1:12" x14ac:dyDescent="0.3">
      <c r="A32" s="11">
        <v>2020</v>
      </c>
      <c r="B32" s="14"/>
      <c r="C32" s="14"/>
      <c r="D32" s="7">
        <v>17057.729255555601</v>
      </c>
      <c r="E32" s="7">
        <v>52.143146992578401</v>
      </c>
      <c r="F32" s="7">
        <v>0.10307278693550601</v>
      </c>
      <c r="G32" s="7">
        <v>5.8809086507476396E-3</v>
      </c>
      <c r="H32" s="7">
        <v>889.44368393204002</v>
      </c>
      <c r="I32" s="7">
        <v>1.75818769316143</v>
      </c>
      <c r="J32" s="7">
        <v>0.10031494754110799</v>
      </c>
      <c r="K32" s="7">
        <v>26714.242529983901</v>
      </c>
      <c r="L32" s="7">
        <v>0.63852565673198902</v>
      </c>
    </row>
    <row r="33" spans="1:12" x14ac:dyDescent="0.3">
      <c r="A33" s="11">
        <v>2021</v>
      </c>
      <c r="B33" s="14"/>
      <c r="C33" s="14"/>
      <c r="D33" s="7">
        <v>30124.679255555599</v>
      </c>
      <c r="E33" s="7">
        <v>58.142834293232603</v>
      </c>
      <c r="F33" s="7">
        <v>0.119479716456693</v>
      </c>
      <c r="G33" s="7">
        <v>6.9626070978555102E-3</v>
      </c>
      <c r="H33" s="7">
        <v>1751.5342340925499</v>
      </c>
      <c r="I33" s="7">
        <v>3.5992881358025999</v>
      </c>
      <c r="J33" s="7">
        <v>0.20974630560535201</v>
      </c>
      <c r="K33" s="7">
        <v>26774.830950928201</v>
      </c>
      <c r="L33" s="7">
        <v>1.1251118377093301</v>
      </c>
    </row>
    <row r="34" spans="1:12" x14ac:dyDescent="0.3">
      <c r="A34" s="11">
        <v>2022</v>
      </c>
      <c r="B34" s="14"/>
      <c r="C34" s="14"/>
      <c r="D34" s="7">
        <v>61499.1643555556</v>
      </c>
      <c r="E34" s="7">
        <v>52.625299967278899</v>
      </c>
      <c r="F34" s="7">
        <v>8.2747261030998401E-2</v>
      </c>
      <c r="G34" s="7">
        <v>4.5872915357386803E-3</v>
      </c>
      <c r="H34" s="7">
        <v>3236.4119719481</v>
      </c>
      <c r="I34" s="7">
        <v>5.0888874061174301</v>
      </c>
      <c r="J34" s="7">
        <v>0.28211459610324202</v>
      </c>
      <c r="K34" s="7">
        <v>26835.8048718727</v>
      </c>
      <c r="L34" s="7">
        <v>2.2916832436807</v>
      </c>
    </row>
    <row r="35" spans="1:12" x14ac:dyDescent="0.3">
      <c r="A35" s="11">
        <v>2023</v>
      </c>
      <c r="B35" s="14"/>
      <c r="C35" s="14"/>
      <c r="D35" s="7">
        <v>28738.395555555599</v>
      </c>
      <c r="E35" s="7">
        <v>61.577104831854498</v>
      </c>
      <c r="F35" s="7">
        <v>0.13487789271699899</v>
      </c>
      <c r="G35" s="7">
        <v>7.7928064417851E-3</v>
      </c>
      <c r="H35" s="7">
        <v>1769.6271958237501</v>
      </c>
      <c r="I35" s="7">
        <v>3.8761742326009099</v>
      </c>
      <c r="J35" s="7">
        <v>0.22395275401190201</v>
      </c>
      <c r="K35" s="7">
        <v>26896.478292816999</v>
      </c>
      <c r="L35" s="7">
        <v>1.0684817262202899</v>
      </c>
    </row>
    <row r="36" spans="1:12" x14ac:dyDescent="0.3">
      <c r="A36" s="12">
        <v>2024</v>
      </c>
      <c r="B36" s="5"/>
      <c r="C36" s="5"/>
      <c r="D36" s="8">
        <v>27766.677655555599</v>
      </c>
      <c r="E36" s="8">
        <v>63.748631246861002</v>
      </c>
      <c r="F36" s="8">
        <v>0.14036981868625201</v>
      </c>
      <c r="G36" s="8">
        <v>8.1439394811014306E-3</v>
      </c>
      <c r="H36" s="8">
        <v>1770.0876948144701</v>
      </c>
      <c r="I36" s="8">
        <v>3.8976035080299498</v>
      </c>
      <c r="J36" s="8">
        <v>0.22613014241809601</v>
      </c>
      <c r="K36" s="8">
        <v>26957.5704637614</v>
      </c>
      <c r="L36" s="8">
        <v>1.0300140991148199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.77734375" customWidth="1"/>
    <col min="2" max="2" width="11.77734375" customWidth="1"/>
    <col min="3" max="3" width="4.109375" customWidth="1"/>
    <col min="4" max="4" width="11.77734375" customWidth="1"/>
    <col min="5" max="5" width="6.77734375" customWidth="1"/>
    <col min="6" max="7" width="11.77734375" customWidth="1"/>
    <col min="8" max="8" width="5" customWidth="1"/>
    <col min="9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99</v>
      </c>
      <c r="C2" s="13" t="s">
        <v>100</v>
      </c>
      <c r="D2" s="6">
        <v>7823.6202356562198</v>
      </c>
      <c r="E2" s="6"/>
      <c r="F2" s="6">
        <v>0.240162858773456</v>
      </c>
      <c r="G2" s="6">
        <v>1.65111965406722E-3</v>
      </c>
      <c r="H2" s="6"/>
      <c r="I2" s="6">
        <v>1.8789430017530599</v>
      </c>
      <c r="J2" s="6">
        <v>1.2917733137050001E-2</v>
      </c>
      <c r="K2" s="6">
        <v>3363.0645454545502</v>
      </c>
      <c r="L2" s="6">
        <v>2.3263366283678599</v>
      </c>
    </row>
    <row r="3" spans="1:12" x14ac:dyDescent="0.3">
      <c r="A3" s="11">
        <v>1991</v>
      </c>
      <c r="B3" s="14" t="s">
        <v>99</v>
      </c>
      <c r="C3" s="14" t="s">
        <v>100</v>
      </c>
      <c r="D3" s="7">
        <v>2964.6305517522901</v>
      </c>
      <c r="E3" s="7"/>
      <c r="F3" s="7">
        <v>0.240162858773456</v>
      </c>
      <c r="G3" s="7">
        <v>1.6511196540684499E-3</v>
      </c>
      <c r="H3" s="7"/>
      <c r="I3" s="7">
        <v>0.71199414851595999</v>
      </c>
      <c r="J3" s="7">
        <v>4.8949597710499998E-3</v>
      </c>
      <c r="K3" s="7">
        <v>3366.9430909090902</v>
      </c>
      <c r="L3" s="7">
        <v>0.88051103677901099</v>
      </c>
    </row>
    <row r="4" spans="1:12" x14ac:dyDescent="0.3">
      <c r="A4" s="11">
        <v>1992</v>
      </c>
      <c r="B4" s="14" t="s">
        <v>99</v>
      </c>
      <c r="C4" s="14" t="s">
        <v>100</v>
      </c>
      <c r="D4" s="7">
        <v>8585.0266289039992</v>
      </c>
      <c r="E4" s="7"/>
      <c r="F4" s="7">
        <v>0.240162858773457</v>
      </c>
      <c r="G4" s="7">
        <v>1.6511196540679399E-3</v>
      </c>
      <c r="H4" s="7"/>
      <c r="I4" s="7">
        <v>2.0618045378438401</v>
      </c>
      <c r="J4" s="7">
        <v>1.417490619768E-2</v>
      </c>
      <c r="K4" s="7">
        <v>3370.8216363636402</v>
      </c>
      <c r="L4" s="7">
        <v>2.5468646979984699</v>
      </c>
    </row>
    <row r="5" spans="1:12" x14ac:dyDescent="0.3">
      <c r="A5" s="11">
        <v>1993</v>
      </c>
      <c r="B5" s="14" t="s">
        <v>99</v>
      </c>
      <c r="C5" s="14" t="s">
        <v>100</v>
      </c>
      <c r="D5" s="7">
        <v>8947.1698644744192</v>
      </c>
      <c r="E5" s="7"/>
      <c r="F5" s="7">
        <v>0.240162858773457</v>
      </c>
      <c r="G5" s="7">
        <v>1.6511196540670301E-3</v>
      </c>
      <c r="H5" s="7"/>
      <c r="I5" s="7">
        <v>2.1487778925839001</v>
      </c>
      <c r="J5" s="7">
        <v>1.4772848011509999E-2</v>
      </c>
      <c r="K5" s="7">
        <v>3374.7001818181802</v>
      </c>
      <c r="L5" s="7">
        <v>2.6512488169108899</v>
      </c>
    </row>
    <row r="6" spans="1:12" x14ac:dyDescent="0.3">
      <c r="A6" s="11">
        <v>1994</v>
      </c>
      <c r="B6" s="14" t="s">
        <v>99</v>
      </c>
      <c r="C6" s="14" t="s">
        <v>100</v>
      </c>
      <c r="D6" s="7">
        <v>7813.1759944166897</v>
      </c>
      <c r="E6" s="7"/>
      <c r="F6" s="7">
        <v>0.240162858773457</v>
      </c>
      <c r="G6" s="7">
        <v>1.6511196540675299E-3</v>
      </c>
      <c r="H6" s="7"/>
      <c r="I6" s="7">
        <v>1.87643468291926</v>
      </c>
      <c r="J6" s="7">
        <v>1.290048844507E-2</v>
      </c>
      <c r="K6" s="7">
        <v>3378.5787272727298</v>
      </c>
      <c r="L6" s="7">
        <v>2.3125629517959099</v>
      </c>
    </row>
    <row r="7" spans="1:12" x14ac:dyDescent="0.3">
      <c r="A7" s="11">
        <v>1995</v>
      </c>
      <c r="B7" s="14" t="s">
        <v>99</v>
      </c>
      <c r="C7" s="14" t="s">
        <v>100</v>
      </c>
      <c r="D7" s="7">
        <v>5125.9633745655201</v>
      </c>
      <c r="E7" s="7"/>
      <c r="F7" s="7">
        <v>0.240162858773456</v>
      </c>
      <c r="G7" s="7">
        <v>1.65111965406842E-3</v>
      </c>
      <c r="H7" s="7"/>
      <c r="I7" s="7">
        <v>1.2310660180036901</v>
      </c>
      <c r="J7" s="7">
        <v>8.4635788737800009E-3</v>
      </c>
      <c r="K7" s="7">
        <v>3382.4572727272698</v>
      </c>
      <c r="L7" s="7">
        <v>1.5154554695771401</v>
      </c>
    </row>
    <row r="8" spans="1:12" x14ac:dyDescent="0.3">
      <c r="A8" s="11">
        <v>1996</v>
      </c>
      <c r="B8" s="14" t="s">
        <v>99</v>
      </c>
      <c r="C8" s="14" t="s">
        <v>100</v>
      </c>
      <c r="D8" s="7">
        <v>2114.9248771155599</v>
      </c>
      <c r="E8" s="7"/>
      <c r="F8" s="7">
        <v>0.240162858773455</v>
      </c>
      <c r="G8" s="7">
        <v>1.65111965406665E-3</v>
      </c>
      <c r="H8" s="7"/>
      <c r="I8" s="7">
        <v>0.50792640457917004</v>
      </c>
      <c r="J8" s="7">
        <v>3.49199403148E-3</v>
      </c>
      <c r="K8" s="7">
        <v>3386.3358181818198</v>
      </c>
      <c r="L8" s="7">
        <v>0.62454670495470799</v>
      </c>
    </row>
    <row r="9" spans="1:12" x14ac:dyDescent="0.3">
      <c r="A9" s="11">
        <v>1997</v>
      </c>
      <c r="B9" s="14" t="s">
        <v>99</v>
      </c>
      <c r="C9" s="14" t="s">
        <v>100</v>
      </c>
      <c r="D9" s="7">
        <v>6188.7725867754298</v>
      </c>
      <c r="E9" s="7"/>
      <c r="F9" s="7">
        <v>0.240162858773457</v>
      </c>
      <c r="G9" s="7">
        <v>1.65111965406765E-3</v>
      </c>
      <c r="H9" s="7"/>
      <c r="I9" s="7">
        <v>1.4863133167387901</v>
      </c>
      <c r="J9" s="7">
        <v>1.021840405258E-2</v>
      </c>
      <c r="K9" s="7">
        <v>3392.20329570882</v>
      </c>
      <c r="L9" s="7">
        <v>1.82441087614186</v>
      </c>
    </row>
    <row r="10" spans="1:12" x14ac:dyDescent="0.3">
      <c r="A10" s="11">
        <v>1998</v>
      </c>
      <c r="B10" s="14" t="s">
        <v>99</v>
      </c>
      <c r="C10" s="14" t="s">
        <v>100</v>
      </c>
      <c r="D10" s="7">
        <v>19389.4897192301</v>
      </c>
      <c r="E10" s="7"/>
      <c r="F10" s="7">
        <v>0.240162858773457</v>
      </c>
      <c r="G10" s="7">
        <v>1.65111965406747E-3</v>
      </c>
      <c r="H10" s="7"/>
      <c r="I10" s="7">
        <v>4.6566352811288603</v>
      </c>
      <c r="J10" s="7">
        <v>3.201436755776E-2</v>
      </c>
      <c r="K10" s="7">
        <v>3394.0928745464498</v>
      </c>
      <c r="L10" s="7">
        <v>5.7127163091614301</v>
      </c>
    </row>
    <row r="11" spans="1:12" x14ac:dyDescent="0.3">
      <c r="A11" s="11">
        <v>1999</v>
      </c>
      <c r="B11" s="14" t="s">
        <v>99</v>
      </c>
      <c r="C11" s="14" t="s">
        <v>100</v>
      </c>
      <c r="D11" s="7">
        <v>1232.6057503075999</v>
      </c>
      <c r="E11" s="7"/>
      <c r="F11" s="7">
        <v>0.240162858773453</v>
      </c>
      <c r="G11" s="7">
        <v>1.65111965406791E-3</v>
      </c>
      <c r="H11" s="7"/>
      <c r="I11" s="7">
        <v>0.29602612073446999</v>
      </c>
      <c r="J11" s="7">
        <v>2.03517958005E-3</v>
      </c>
      <c r="K11" s="7">
        <v>3397.9714545454499</v>
      </c>
      <c r="L11" s="7">
        <v>0.36274752945871502</v>
      </c>
    </row>
    <row r="12" spans="1:12" x14ac:dyDescent="0.3">
      <c r="A12" s="11">
        <v>2000</v>
      </c>
      <c r="B12" s="14" t="s">
        <v>99</v>
      </c>
      <c r="C12" s="14" t="s">
        <v>100</v>
      </c>
      <c r="D12" s="7">
        <v>23869.861955713401</v>
      </c>
      <c r="E12" s="7"/>
      <c r="F12" s="7">
        <v>0.240162858773457</v>
      </c>
      <c r="G12" s="7">
        <v>1.65111965406765E-3</v>
      </c>
      <c r="H12" s="7"/>
      <c r="I12" s="7">
        <v>5.7326542858118996</v>
      </c>
      <c r="J12" s="7">
        <v>3.9411998214959998E-2</v>
      </c>
      <c r="K12" s="7">
        <v>3401.85</v>
      </c>
      <c r="L12" s="7">
        <v>7.0167297075748198</v>
      </c>
    </row>
    <row r="13" spans="1:12" x14ac:dyDescent="0.3">
      <c r="A13" s="11">
        <v>2001</v>
      </c>
      <c r="B13" s="14" t="s">
        <v>99</v>
      </c>
      <c r="C13" s="14" t="s">
        <v>100</v>
      </c>
      <c r="D13" s="7">
        <v>2523.5611924172699</v>
      </c>
      <c r="E13" s="7"/>
      <c r="F13" s="7">
        <v>0.240162858773455</v>
      </c>
      <c r="G13" s="7">
        <v>1.65111965406664E-3</v>
      </c>
      <c r="H13" s="7"/>
      <c r="I13" s="7">
        <v>0.60606567026068003</v>
      </c>
      <c r="J13" s="7">
        <v>4.1667014830399996E-3</v>
      </c>
      <c r="K13" s="7">
        <v>3405.7285454545499</v>
      </c>
      <c r="L13" s="7">
        <v>0.74097543557466905</v>
      </c>
    </row>
    <row r="14" spans="1:12" x14ac:dyDescent="0.3">
      <c r="A14" s="11">
        <v>2002</v>
      </c>
      <c r="B14" s="14" t="s">
        <v>99</v>
      </c>
      <c r="C14" s="14" t="s">
        <v>100</v>
      </c>
      <c r="D14" s="7">
        <v>239.53952109227799</v>
      </c>
      <c r="E14" s="7"/>
      <c r="F14" s="7">
        <v>0.24016285877347199</v>
      </c>
      <c r="G14" s="7">
        <v>1.65111965406175E-3</v>
      </c>
      <c r="H14" s="7"/>
      <c r="I14" s="7">
        <v>5.7528496174749998E-2</v>
      </c>
      <c r="J14" s="7">
        <v>3.9550841119999998E-4</v>
      </c>
      <c r="K14" s="7">
        <v>3409.6070909090899</v>
      </c>
      <c r="L14" s="7">
        <v>7.0254288751027502E-2</v>
      </c>
    </row>
    <row r="15" spans="1:12" x14ac:dyDescent="0.3">
      <c r="A15" s="11">
        <v>2003</v>
      </c>
      <c r="B15" s="14" t="s">
        <v>99</v>
      </c>
      <c r="C15" s="14" t="s">
        <v>100</v>
      </c>
      <c r="D15" s="7">
        <v>360.54058186598598</v>
      </c>
      <c r="E15" s="7"/>
      <c r="F15" s="7">
        <v>0.240162858773455</v>
      </c>
      <c r="G15" s="7">
        <v>1.6511196540734299E-3</v>
      </c>
      <c r="H15" s="7"/>
      <c r="I15" s="7">
        <v>8.6588456844780004E-2</v>
      </c>
      <c r="J15" s="7">
        <v>5.9529564081000003E-4</v>
      </c>
      <c r="K15" s="7">
        <v>3413.48563636364</v>
      </c>
      <c r="L15" s="7">
        <v>0.105622410718584</v>
      </c>
    </row>
    <row r="16" spans="1:12" x14ac:dyDescent="0.3">
      <c r="A16" s="11">
        <v>2004</v>
      </c>
      <c r="B16" s="14" t="s">
        <v>99</v>
      </c>
      <c r="C16" s="14" t="s">
        <v>100</v>
      </c>
      <c r="D16" s="7">
        <v>944.15385106990698</v>
      </c>
      <c r="E16" s="7"/>
      <c r="F16" s="7">
        <v>0.24016285877346</v>
      </c>
      <c r="G16" s="7">
        <v>1.6511196540727499E-3</v>
      </c>
      <c r="H16" s="7"/>
      <c r="I16" s="7">
        <v>0.22675068799492001</v>
      </c>
      <c r="J16" s="7">
        <v>1.5589109799700001E-3</v>
      </c>
      <c r="K16" s="7">
        <v>3417.36418181818</v>
      </c>
      <c r="L16" s="7">
        <v>0.276281309464529</v>
      </c>
    </row>
    <row r="17" spans="1:12" x14ac:dyDescent="0.3">
      <c r="A17" s="11">
        <v>2005</v>
      </c>
      <c r="B17" s="14" t="s">
        <v>99</v>
      </c>
      <c r="C17" s="14" t="s">
        <v>100</v>
      </c>
      <c r="D17" s="7">
        <v>795.09305434427097</v>
      </c>
      <c r="E17" s="7"/>
      <c r="F17" s="7">
        <v>0.240162858773457</v>
      </c>
      <c r="G17" s="7">
        <v>1.6511196540670201E-3</v>
      </c>
      <c r="H17" s="7"/>
      <c r="I17" s="7">
        <v>0.19095182092224</v>
      </c>
      <c r="J17" s="7">
        <v>1.3127937688399999E-3</v>
      </c>
      <c r="K17" s="7">
        <v>3421.24272727273</v>
      </c>
      <c r="L17" s="7">
        <v>0.23239890230708199</v>
      </c>
    </row>
    <row r="18" spans="1:12" x14ac:dyDescent="0.3">
      <c r="A18" s="11">
        <v>2006</v>
      </c>
      <c r="B18" s="14" t="s">
        <v>99</v>
      </c>
      <c r="C18" s="14" t="s">
        <v>100</v>
      </c>
      <c r="D18" s="7">
        <v>2372.5605490796502</v>
      </c>
      <c r="E18" s="7"/>
      <c r="F18" s="7">
        <v>0.240162858773457</v>
      </c>
      <c r="G18" s="7">
        <v>1.65111965406725E-3</v>
      </c>
      <c r="H18" s="7"/>
      <c r="I18" s="7">
        <v>0.56980092408008998</v>
      </c>
      <c r="J18" s="7">
        <v>3.91738135305E-3</v>
      </c>
      <c r="K18" s="7">
        <v>3425.12127272727</v>
      </c>
      <c r="L18" s="7">
        <v>0.69269388151926303</v>
      </c>
    </row>
    <row r="19" spans="1:12" x14ac:dyDescent="0.3">
      <c r="A19" s="11">
        <v>2007</v>
      </c>
      <c r="B19" s="14" t="s">
        <v>99</v>
      </c>
      <c r="C19" s="14" t="s">
        <v>100</v>
      </c>
      <c r="D19" s="7">
        <v>31281.531488320899</v>
      </c>
      <c r="E19" s="7"/>
      <c r="F19" s="7">
        <v>0.240162858773457</v>
      </c>
      <c r="G19" s="7">
        <v>1.65111965406756E-3</v>
      </c>
      <c r="H19" s="7"/>
      <c r="I19" s="7">
        <v>7.5126620290470498</v>
      </c>
      <c r="J19" s="7">
        <v>5.1649551449700001E-2</v>
      </c>
      <c r="K19" s="7">
        <v>3428.99981818182</v>
      </c>
      <c r="L19" s="7">
        <v>9.1226401711818994</v>
      </c>
    </row>
    <row r="20" spans="1:12" x14ac:dyDescent="0.3">
      <c r="A20" s="11">
        <v>2008</v>
      </c>
      <c r="B20" s="14" t="s">
        <v>99</v>
      </c>
      <c r="C20" s="14" t="s">
        <v>100</v>
      </c>
      <c r="D20" s="7">
        <v>4869.2395050688801</v>
      </c>
      <c r="E20" s="7"/>
      <c r="F20" s="7">
        <v>0.240162858773456</v>
      </c>
      <c r="G20" s="7">
        <v>1.6511196540672699E-3</v>
      </c>
      <c r="H20" s="7"/>
      <c r="I20" s="7">
        <v>1.16941047958999</v>
      </c>
      <c r="J20" s="7">
        <v>8.0396970471799997E-3</v>
      </c>
      <c r="K20" s="7">
        <v>3432.8783636363601</v>
      </c>
      <c r="L20" s="7">
        <v>1.4184130602026399</v>
      </c>
    </row>
    <row r="21" spans="1:12" x14ac:dyDescent="0.3">
      <c r="A21" s="11">
        <v>2009</v>
      </c>
      <c r="B21" s="14" t="s">
        <v>99</v>
      </c>
      <c r="C21" s="14" t="s">
        <v>100</v>
      </c>
      <c r="D21" s="7">
        <v>5302.51671955235</v>
      </c>
      <c r="E21" s="7"/>
      <c r="F21" s="7">
        <v>0.240162858773456</v>
      </c>
      <c r="G21" s="7">
        <v>1.6511196540666699E-3</v>
      </c>
      <c r="H21" s="7"/>
      <c r="I21" s="7">
        <v>1.27346757406174</v>
      </c>
      <c r="J21" s="7">
        <v>8.7550895716700002E-3</v>
      </c>
      <c r="K21" s="7">
        <v>3436.7569090909101</v>
      </c>
      <c r="L21" s="7">
        <v>1.5428838465490899</v>
      </c>
    </row>
    <row r="22" spans="1:12" x14ac:dyDescent="0.3">
      <c r="A22" s="11">
        <v>2010</v>
      </c>
      <c r="B22" s="14" t="s">
        <v>99</v>
      </c>
      <c r="C22" s="14" t="s">
        <v>100</v>
      </c>
      <c r="D22" s="7">
        <v>2248.0320525965799</v>
      </c>
      <c r="E22" s="7"/>
      <c r="F22" s="7">
        <v>0.240162858773458</v>
      </c>
      <c r="G22" s="7">
        <v>1.6511196540693099E-3</v>
      </c>
      <c r="H22" s="7"/>
      <c r="I22" s="7">
        <v>0.53989380436596002</v>
      </c>
      <c r="J22" s="7">
        <v>3.7117699050200001E-3</v>
      </c>
      <c r="K22" s="7">
        <v>3440.6354545454501</v>
      </c>
      <c r="L22" s="7">
        <v>0.65337699453939202</v>
      </c>
    </row>
    <row r="23" spans="1:12" x14ac:dyDescent="0.3">
      <c r="A23" s="11">
        <v>2011</v>
      </c>
      <c r="B23" s="14" t="s">
        <v>99</v>
      </c>
      <c r="C23" s="14" t="s">
        <v>100</v>
      </c>
      <c r="D23" s="7">
        <v>961.63301731088802</v>
      </c>
      <c r="E23" s="7"/>
      <c r="F23" s="7">
        <v>0.240162858773459</v>
      </c>
      <c r="G23" s="7">
        <v>1.65111965406517E-3</v>
      </c>
      <c r="H23" s="7"/>
      <c r="I23" s="7">
        <v>0.23094853452833</v>
      </c>
      <c r="J23" s="7">
        <v>1.58777117488E-3</v>
      </c>
      <c r="K23" s="7">
        <v>3444.5140000000001</v>
      </c>
      <c r="L23" s="7">
        <v>0.27917814162197901</v>
      </c>
    </row>
    <row r="24" spans="1:12" x14ac:dyDescent="0.3">
      <c r="A24" s="11">
        <v>2012</v>
      </c>
      <c r="B24" s="14" t="s">
        <v>99</v>
      </c>
      <c r="C24" s="14" t="s">
        <v>100</v>
      </c>
      <c r="D24" s="7">
        <v>3551.5944092199102</v>
      </c>
      <c r="E24" s="7"/>
      <c r="F24" s="7">
        <v>0.240162858773457</v>
      </c>
      <c r="G24" s="7">
        <v>1.6511196540677101E-3</v>
      </c>
      <c r="H24" s="7"/>
      <c r="I24" s="7">
        <v>0.85296106652208004</v>
      </c>
      <c r="J24" s="7">
        <v>5.8641073323399996E-3</v>
      </c>
      <c r="K24" s="7">
        <v>3448.3925454545501</v>
      </c>
      <c r="L24" s="7">
        <v>1.02992752779883</v>
      </c>
    </row>
    <row r="25" spans="1:12" x14ac:dyDescent="0.3">
      <c r="A25" s="11">
        <v>2013</v>
      </c>
      <c r="B25" s="14" t="s">
        <v>99</v>
      </c>
      <c r="C25" s="14" t="s">
        <v>100</v>
      </c>
      <c r="D25" s="7">
        <v>271.08669678131099</v>
      </c>
      <c r="E25" s="7"/>
      <c r="F25" s="7">
        <v>0.24016285877344601</v>
      </c>
      <c r="G25" s="7">
        <v>1.65111965406064E-3</v>
      </c>
      <c r="H25" s="7"/>
      <c r="I25" s="7">
        <v>6.5104956074449993E-2</v>
      </c>
      <c r="J25" s="7">
        <v>4.4759657300999999E-4</v>
      </c>
      <c r="K25" s="7">
        <v>3452.2710909090902</v>
      </c>
      <c r="L25" s="7">
        <v>7.8524162686750498E-2</v>
      </c>
    </row>
    <row r="26" spans="1:12" x14ac:dyDescent="0.3">
      <c r="A26" s="11">
        <v>2014</v>
      </c>
      <c r="B26" s="14" t="s">
        <v>99</v>
      </c>
      <c r="C26" s="14" t="s">
        <v>100</v>
      </c>
      <c r="D26" s="7">
        <v>174.988632244961</v>
      </c>
      <c r="E26" s="7"/>
      <c r="F26" s="7">
        <v>0.24016285877347399</v>
      </c>
      <c r="G26" s="7">
        <v>1.6511196540786701E-3</v>
      </c>
      <c r="H26" s="7"/>
      <c r="I26" s="7">
        <v>4.2025770172809999E-2</v>
      </c>
      <c r="J26" s="7">
        <v>2.8892716994000003E-4</v>
      </c>
      <c r="K26" s="7">
        <v>3453.7496363636401</v>
      </c>
      <c r="L26" s="7">
        <v>5.0666275980907997E-2</v>
      </c>
    </row>
    <row r="27" spans="1:12" x14ac:dyDescent="0.3">
      <c r="A27" s="11">
        <v>2015</v>
      </c>
      <c r="B27" s="14" t="s">
        <v>99</v>
      </c>
      <c r="C27" s="14" t="s">
        <v>100</v>
      </c>
      <c r="D27" s="7">
        <v>692.70940718509996</v>
      </c>
      <c r="E27" s="7"/>
      <c r="F27" s="7">
        <v>0.240162858773457</v>
      </c>
      <c r="G27" s="7">
        <v>1.6511196540663999E-3</v>
      </c>
      <c r="H27" s="7"/>
      <c r="I27" s="7">
        <v>0.16636307152884</v>
      </c>
      <c r="J27" s="7">
        <v>1.1437461167600001E-3</v>
      </c>
      <c r="K27" s="7">
        <v>3454.4281818181798</v>
      </c>
      <c r="L27" s="7">
        <v>0.20052795158141201</v>
      </c>
    </row>
    <row r="28" spans="1:12" x14ac:dyDescent="0.3">
      <c r="A28" s="11">
        <v>2016</v>
      </c>
      <c r="B28" s="14" t="s">
        <v>99</v>
      </c>
      <c r="C28" s="14" t="s">
        <v>100</v>
      </c>
      <c r="D28" s="7">
        <v>2003.07453734163</v>
      </c>
      <c r="E28" s="7"/>
      <c r="F28" s="7">
        <v>0.240162858773454</v>
      </c>
      <c r="G28" s="7">
        <v>1.65111965406903E-3</v>
      </c>
      <c r="H28" s="7"/>
      <c r="I28" s="7">
        <v>0.48106410722428</v>
      </c>
      <c r="J28" s="7">
        <v>3.3073157371699999E-3</v>
      </c>
      <c r="K28" s="7">
        <v>3455.3067272727299</v>
      </c>
      <c r="L28" s="7">
        <v>0.57970961637974605</v>
      </c>
    </row>
    <row r="29" spans="1:12" x14ac:dyDescent="0.3">
      <c r="A29" s="11">
        <v>2017</v>
      </c>
      <c r="B29" s="14" t="s">
        <v>99</v>
      </c>
      <c r="C29" s="14" t="s">
        <v>100</v>
      </c>
      <c r="D29" s="7">
        <v>893.49835798312495</v>
      </c>
      <c r="E29" s="7"/>
      <c r="F29" s="7">
        <v>0.24016285877346</v>
      </c>
      <c r="G29" s="7">
        <v>1.6511196540641699E-3</v>
      </c>
      <c r="H29" s="7"/>
      <c r="I29" s="7">
        <v>0.21458511996262</v>
      </c>
      <c r="J29" s="7">
        <v>1.47527269974E-3</v>
      </c>
      <c r="K29" s="7">
        <v>3453.1852727272699</v>
      </c>
      <c r="L29" s="7">
        <v>0.25874613940926899</v>
      </c>
    </row>
    <row r="30" spans="1:12" x14ac:dyDescent="0.3">
      <c r="A30" s="11">
        <v>2018</v>
      </c>
      <c r="B30" s="14" t="s">
        <v>99</v>
      </c>
      <c r="C30" s="14" t="s">
        <v>100</v>
      </c>
      <c r="D30" s="7">
        <v>655.97278171965297</v>
      </c>
      <c r="E30" s="7"/>
      <c r="F30" s="7">
        <v>0.240162858773459</v>
      </c>
      <c r="G30" s="7">
        <v>1.6511196540665101E-3</v>
      </c>
      <c r="H30" s="7"/>
      <c r="I30" s="7">
        <v>0.15754029853536999</v>
      </c>
      <c r="J30" s="7">
        <v>1.0830895524299999E-3</v>
      </c>
      <c r="K30" s="7">
        <v>3455.2003773635201</v>
      </c>
      <c r="L30" s="7">
        <v>0.189850865384598</v>
      </c>
    </row>
    <row r="31" spans="1:12" x14ac:dyDescent="0.3">
      <c r="A31" s="11">
        <v>2019</v>
      </c>
      <c r="B31" s="14" t="s">
        <v>99</v>
      </c>
      <c r="C31" s="14" t="s">
        <v>100</v>
      </c>
      <c r="D31" s="7">
        <v>3446.8105</v>
      </c>
      <c r="E31" s="7"/>
      <c r="F31" s="7">
        <v>0.224113564220984</v>
      </c>
      <c r="G31" s="7">
        <v>1.54078075401927E-3</v>
      </c>
      <c r="H31" s="7"/>
      <c r="I31" s="7">
        <v>0.77247698634931306</v>
      </c>
      <c r="J31" s="7">
        <v>5.3107792811515299E-3</v>
      </c>
      <c r="K31" s="7">
        <v>3455.1669448095199</v>
      </c>
      <c r="L31" s="7">
        <v>0.99758146424094696</v>
      </c>
    </row>
    <row r="32" spans="1:12" x14ac:dyDescent="0.3">
      <c r="A32" s="11">
        <v>2020</v>
      </c>
      <c r="B32" s="14" t="s">
        <v>99</v>
      </c>
      <c r="C32" s="14" t="s">
        <v>100</v>
      </c>
      <c r="D32" s="7">
        <v>1370.505817365</v>
      </c>
      <c r="E32" s="7"/>
      <c r="F32" s="7">
        <v>0.32358282562333301</v>
      </c>
      <c r="G32" s="7">
        <v>2.22463192616042E-3</v>
      </c>
      <c r="H32" s="7"/>
      <c r="I32" s="7">
        <v>0.44347214491618298</v>
      </c>
      <c r="J32" s="7">
        <v>3.04887099629876E-3</v>
      </c>
      <c r="K32" s="7">
        <v>3456.56871465624</v>
      </c>
      <c r="L32" s="7">
        <v>0.39649314985520201</v>
      </c>
    </row>
    <row r="33" spans="1:12" x14ac:dyDescent="0.3">
      <c r="A33" s="11">
        <v>2021</v>
      </c>
      <c r="B33" s="14" t="s">
        <v>99</v>
      </c>
      <c r="C33" s="14" t="s">
        <v>100</v>
      </c>
      <c r="D33" s="7">
        <v>21169.577146078002</v>
      </c>
      <c r="E33" s="7"/>
      <c r="F33" s="7">
        <v>0.16914707118994601</v>
      </c>
      <c r="G33" s="7">
        <v>1.16288611443088E-3</v>
      </c>
      <c r="H33" s="7"/>
      <c r="I33" s="7">
        <v>3.5807719725887202</v>
      </c>
      <c r="J33" s="7">
        <v>2.4617807311547401E-2</v>
      </c>
      <c r="K33" s="7">
        <v>3460.4588354633802</v>
      </c>
      <c r="L33" s="7">
        <v>6.11756363899738</v>
      </c>
    </row>
    <row r="34" spans="1:12" x14ac:dyDescent="0.3">
      <c r="A34" s="11">
        <v>2022</v>
      </c>
      <c r="B34" s="14" t="s">
        <v>99</v>
      </c>
      <c r="C34" s="14" t="s">
        <v>100</v>
      </c>
      <c r="D34" s="7">
        <v>8279.5769701415702</v>
      </c>
      <c r="E34" s="7"/>
      <c r="F34" s="7">
        <v>0.21464076698370599</v>
      </c>
      <c r="G34" s="7">
        <v>1.47565527301298E-3</v>
      </c>
      <c r="H34" s="7"/>
      <c r="I34" s="7">
        <v>1.7771347511718101</v>
      </c>
      <c r="J34" s="7">
        <v>1.2217801414306201E-2</v>
      </c>
      <c r="K34" s="7">
        <v>3466.2664851097602</v>
      </c>
      <c r="L34" s="7">
        <v>2.38861524516612</v>
      </c>
    </row>
    <row r="35" spans="1:12" x14ac:dyDescent="0.3">
      <c r="A35" s="11">
        <v>2023</v>
      </c>
      <c r="B35" s="14" t="s">
        <v>99</v>
      </c>
      <c r="C35" s="14" t="s">
        <v>100</v>
      </c>
      <c r="D35" s="7">
        <v>70253.19</v>
      </c>
      <c r="E35" s="7"/>
      <c r="F35" s="7">
        <v>0.14729696812561499</v>
      </c>
      <c r="G35" s="7">
        <v>1.0126666558635999E-3</v>
      </c>
      <c r="H35" s="7"/>
      <c r="I35" s="7">
        <v>10.3480818881528</v>
      </c>
      <c r="J35" s="7">
        <v>7.1143062981050401E-2</v>
      </c>
      <c r="K35" s="7">
        <v>3467.3441615851302</v>
      </c>
      <c r="L35" s="7">
        <v>20.261383562191</v>
      </c>
    </row>
    <row r="36" spans="1:12" x14ac:dyDescent="0.3">
      <c r="A36" s="12">
        <v>2024</v>
      </c>
      <c r="B36" s="5" t="s">
        <v>99</v>
      </c>
      <c r="C36" s="5" t="s">
        <v>100</v>
      </c>
      <c r="D36" s="8">
        <v>12445.700816688901</v>
      </c>
      <c r="E36" s="8"/>
      <c r="F36" s="8">
        <v>0.203983694127644</v>
      </c>
      <c r="G36" s="8">
        <v>1.4023878971275499E-3</v>
      </c>
      <c r="H36" s="8"/>
      <c r="I36" s="8">
        <v>2.53872002859563</v>
      </c>
      <c r="J36" s="8">
        <v>1.7453700196595E-2</v>
      </c>
      <c r="K36" s="8">
        <v>3464.5710637235302</v>
      </c>
      <c r="L36" s="8">
        <v>3.5922775396365898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.77734375" customWidth="1"/>
    <col min="2" max="2" width="10.109375" customWidth="1"/>
    <col min="3" max="3" width="4.109375" customWidth="1"/>
    <col min="4" max="4" width="8.77734375" customWidth="1"/>
    <col min="5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100</v>
      </c>
      <c r="C2" s="13"/>
      <c r="D2" s="6">
        <v>482.15</v>
      </c>
      <c r="E2" s="6">
        <v>33.406283095904797</v>
      </c>
      <c r="F2" s="6">
        <v>0.12808661991078901</v>
      </c>
      <c r="G2" s="6">
        <v>7.0856428035755798E-3</v>
      </c>
      <c r="H2" s="6">
        <v>16.1068393946905</v>
      </c>
      <c r="I2" s="6">
        <v>6.1756963789987102E-2</v>
      </c>
      <c r="J2" s="6">
        <v>3.4163426777439701E-3</v>
      </c>
      <c r="K2" s="6">
        <v>2362.0554817040002</v>
      </c>
      <c r="L2" s="6">
        <v>0.20412306304176001</v>
      </c>
    </row>
    <row r="3" spans="1:12" x14ac:dyDescent="0.3">
      <c r="A3" s="11">
        <v>1991</v>
      </c>
      <c r="B3" s="14" t="s">
        <v>100</v>
      </c>
      <c r="C3" s="14"/>
      <c r="D3" s="7">
        <v>1291.45</v>
      </c>
      <c r="E3" s="7">
        <v>33.406283095904797</v>
      </c>
      <c r="F3" s="7">
        <v>0.12808661991078901</v>
      </c>
      <c r="G3" s="7">
        <v>7.0856428035755798E-3</v>
      </c>
      <c r="H3" s="7">
        <v>43.142544304206297</v>
      </c>
      <c r="I3" s="7">
        <v>0.16541746528378901</v>
      </c>
      <c r="J3" s="7">
        <v>9.1507533986776805E-3</v>
      </c>
      <c r="K3" s="7">
        <v>2362.2688317040001</v>
      </c>
      <c r="L3" s="7">
        <v>0.54669899660337296</v>
      </c>
    </row>
    <row r="4" spans="1:12" x14ac:dyDescent="0.3">
      <c r="A4" s="11">
        <v>1992</v>
      </c>
      <c r="B4" s="14" t="s">
        <v>100</v>
      </c>
      <c r="C4" s="14"/>
      <c r="D4" s="7">
        <v>5863.79</v>
      </c>
      <c r="E4" s="7">
        <v>33.406283095904797</v>
      </c>
      <c r="F4" s="7">
        <v>0.12808661991078901</v>
      </c>
      <c r="G4" s="7">
        <v>7.0856428035755798E-3</v>
      </c>
      <c r="H4" s="7">
        <v>195.887428754936</v>
      </c>
      <c r="I4" s="7">
        <v>0.75107304096668803</v>
      </c>
      <c r="J4" s="7">
        <v>4.1548721415178499E-2</v>
      </c>
      <c r="K4" s="7">
        <v>2362.4314217040001</v>
      </c>
      <c r="L4" s="7">
        <v>2.48209956324171</v>
      </c>
    </row>
    <row r="5" spans="1:12" x14ac:dyDescent="0.3">
      <c r="A5" s="11">
        <v>1993</v>
      </c>
      <c r="B5" s="14" t="s">
        <v>100</v>
      </c>
      <c r="C5" s="14"/>
      <c r="D5" s="7">
        <v>14103</v>
      </c>
      <c r="E5" s="7">
        <v>33.406283095904797</v>
      </c>
      <c r="F5" s="7">
        <v>0.12808661991078901</v>
      </c>
      <c r="G5" s="7">
        <v>7.0856428035755798E-3</v>
      </c>
      <c r="H5" s="7">
        <v>471.11985374052</v>
      </c>
      <c r="I5" s="7">
        <v>1.8064140968267399</v>
      </c>
      <c r="J5" s="7">
        <v>9.9929290462755893E-2</v>
      </c>
      <c r="K5" s="7">
        <v>2362.7294117040001</v>
      </c>
      <c r="L5" s="7">
        <v>5.9689441923139697</v>
      </c>
    </row>
    <row r="6" spans="1:12" x14ac:dyDescent="0.3">
      <c r="A6" s="11">
        <v>1994</v>
      </c>
      <c r="B6" s="14" t="s">
        <v>100</v>
      </c>
      <c r="C6" s="14"/>
      <c r="D6" s="7">
        <v>4591.34</v>
      </c>
      <c r="E6" s="7">
        <v>33.406283095904797</v>
      </c>
      <c r="F6" s="7">
        <v>0.12808661991078901</v>
      </c>
      <c r="G6" s="7">
        <v>7.0856428035755798E-3</v>
      </c>
      <c r="H6" s="7">
        <v>153.379603829552</v>
      </c>
      <c r="I6" s="7">
        <v>0.58808922146120401</v>
      </c>
      <c r="J6" s="7">
        <v>3.2532595229768702E-2</v>
      </c>
      <c r="K6" s="7">
        <v>2362.9287517040002</v>
      </c>
      <c r="L6" s="7">
        <v>1.94307170569109</v>
      </c>
    </row>
    <row r="7" spans="1:12" x14ac:dyDescent="0.3">
      <c r="A7" s="11">
        <v>1995</v>
      </c>
      <c r="B7" s="14" t="s">
        <v>100</v>
      </c>
      <c r="C7" s="14"/>
      <c r="D7" s="7">
        <v>3020.71</v>
      </c>
      <c r="E7" s="7">
        <v>33.406283095904797</v>
      </c>
      <c r="F7" s="7">
        <v>0.12808661991078901</v>
      </c>
      <c r="G7" s="7">
        <v>7.0856428035755798E-3</v>
      </c>
      <c r="H7" s="7">
        <v>100.829919711209</v>
      </c>
      <c r="I7" s="7">
        <v>0.38698915413146201</v>
      </c>
      <c r="J7" s="7">
        <v>2.1407910654080899E-2</v>
      </c>
      <c r="K7" s="7">
        <v>2363.157321704</v>
      </c>
      <c r="L7" s="7">
        <v>1.2782517576196999</v>
      </c>
    </row>
    <row r="8" spans="1:12" x14ac:dyDescent="0.3">
      <c r="A8" s="11">
        <v>1996</v>
      </c>
      <c r="B8" s="14" t="s">
        <v>100</v>
      </c>
      <c r="C8" s="14"/>
      <c r="D8" s="7">
        <v>6509.23</v>
      </c>
      <c r="E8" s="7">
        <v>33.406283095904797</v>
      </c>
      <c r="F8" s="7">
        <v>0.12808661991078901</v>
      </c>
      <c r="G8" s="7">
        <v>7.0856428035755798E-3</v>
      </c>
      <c r="H8" s="7">
        <v>217.32297121101001</v>
      </c>
      <c r="I8" s="7">
        <v>0.833864988454316</v>
      </c>
      <c r="J8" s="7">
        <v>4.6128701488962101E-2</v>
      </c>
      <c r="K8" s="7">
        <v>2363.4448117040001</v>
      </c>
      <c r="L8" s="7">
        <v>2.75412819786004</v>
      </c>
    </row>
    <row r="9" spans="1:12" x14ac:dyDescent="0.3">
      <c r="A9" s="11">
        <v>1997</v>
      </c>
      <c r="B9" s="14" t="s">
        <v>100</v>
      </c>
      <c r="C9" s="14"/>
      <c r="D9" s="7">
        <v>6995.57</v>
      </c>
      <c r="E9" s="7">
        <v>33.406283095904797</v>
      </c>
      <c r="F9" s="7">
        <v>0.12808661991078901</v>
      </c>
      <c r="G9" s="7">
        <v>7.0856428035755798E-3</v>
      </c>
      <c r="H9" s="7">
        <v>232.79217322473599</v>
      </c>
      <c r="I9" s="7">
        <v>0.89689626197818095</v>
      </c>
      <c r="J9" s="7">
        <v>4.9615537896665299E-2</v>
      </c>
      <c r="K9" s="7">
        <v>2363.5625217040001</v>
      </c>
      <c r="L9" s="7">
        <v>2.9597566959881298</v>
      </c>
    </row>
    <row r="10" spans="1:12" x14ac:dyDescent="0.3">
      <c r="A10" s="11">
        <v>1998</v>
      </c>
      <c r="B10" s="14" t="s">
        <v>100</v>
      </c>
      <c r="C10" s="14"/>
      <c r="D10" s="7">
        <v>17118.900000000001</v>
      </c>
      <c r="E10" s="7">
        <v>33.406283095904797</v>
      </c>
      <c r="F10" s="7">
        <v>0.12808661991078901</v>
      </c>
      <c r="G10" s="7">
        <v>7.0856428035755798E-3</v>
      </c>
      <c r="H10" s="7">
        <v>571.66654445420295</v>
      </c>
      <c r="I10" s="7">
        <v>2.19290339812048</v>
      </c>
      <c r="J10" s="7">
        <v>0.12130954968326101</v>
      </c>
      <c r="K10" s="7">
        <v>2363.7179717039999</v>
      </c>
      <c r="L10" s="7">
        <v>7.2423614851390301</v>
      </c>
    </row>
    <row r="11" spans="1:12" x14ac:dyDescent="0.3">
      <c r="A11" s="11">
        <v>1999</v>
      </c>
      <c r="B11" s="14" t="s">
        <v>100</v>
      </c>
      <c r="C11" s="14"/>
      <c r="D11" s="7">
        <v>1829.71</v>
      </c>
      <c r="E11" s="7">
        <v>33.406283095904797</v>
      </c>
      <c r="F11" s="7">
        <v>0.12808661991078901</v>
      </c>
      <c r="G11" s="7">
        <v>7.0856428035755798E-3</v>
      </c>
      <c r="H11" s="7">
        <v>61.123810243408002</v>
      </c>
      <c r="I11" s="7">
        <v>0.23436136931696999</v>
      </c>
      <c r="J11" s="7">
        <v>1.29646714941303E-2</v>
      </c>
      <c r="K11" s="7">
        <v>2364.0172917039999</v>
      </c>
      <c r="L11" s="7">
        <v>0.77398334031691096</v>
      </c>
    </row>
    <row r="12" spans="1:12" x14ac:dyDescent="0.3">
      <c r="A12" s="11">
        <v>2000</v>
      </c>
      <c r="B12" s="14" t="s">
        <v>100</v>
      </c>
      <c r="C12" s="14"/>
      <c r="D12" s="7">
        <v>37441.93</v>
      </c>
      <c r="E12" s="7">
        <v>33.406283095904797</v>
      </c>
      <c r="F12" s="7">
        <v>0.12808661991078901</v>
      </c>
      <c r="G12" s="7">
        <v>7.0856428035755798E-3</v>
      </c>
      <c r="H12" s="7">
        <v>1250.1594575039001</v>
      </c>
      <c r="I12" s="7">
        <v>4.7964137975565304</v>
      </c>
      <c r="J12" s="7">
        <v>0.26533352922653097</v>
      </c>
      <c r="K12" s="7">
        <v>2364.0929099999998</v>
      </c>
      <c r="L12" s="7">
        <v>15.8377574086122</v>
      </c>
    </row>
    <row r="13" spans="1:12" x14ac:dyDescent="0.3">
      <c r="A13" s="11">
        <v>2001</v>
      </c>
      <c r="B13" s="14" t="s">
        <v>100</v>
      </c>
      <c r="C13" s="14"/>
      <c r="D13" s="7">
        <v>6885.78</v>
      </c>
      <c r="E13" s="7">
        <v>33.406283095904797</v>
      </c>
      <c r="F13" s="7">
        <v>0.12808661991078901</v>
      </c>
      <c r="G13" s="7">
        <v>7.0856428035755798E-3</v>
      </c>
      <c r="H13" s="7">
        <v>229.980030931687</v>
      </c>
      <c r="I13" s="7">
        <v>0.88202208802526205</v>
      </c>
      <c r="J13" s="7">
        <v>4.8792711252461297E-2</v>
      </c>
      <c r="K13" s="7">
        <v>2363.99233</v>
      </c>
      <c r="L13" s="7">
        <v>2.9127759479659598</v>
      </c>
    </row>
    <row r="14" spans="1:12" x14ac:dyDescent="0.3">
      <c r="A14" s="11">
        <v>2002</v>
      </c>
      <c r="B14" s="14" t="s">
        <v>100</v>
      </c>
      <c r="C14" s="14"/>
      <c r="D14" s="7">
        <v>2414</v>
      </c>
      <c r="E14" s="7">
        <v>33.406283095904797</v>
      </c>
      <c r="F14" s="7">
        <v>0.12808661991078901</v>
      </c>
      <c r="G14" s="7">
        <v>7.0856428035755798E-3</v>
      </c>
      <c r="H14" s="7">
        <v>80.639510389505304</v>
      </c>
      <c r="I14" s="7">
        <v>0.309204190000965</v>
      </c>
      <c r="J14" s="7">
        <v>1.7104912638351202E-2</v>
      </c>
      <c r="K14" s="7">
        <v>2364.064258332</v>
      </c>
      <c r="L14" s="7">
        <v>1.02112283601937</v>
      </c>
    </row>
    <row r="15" spans="1:12" x14ac:dyDescent="0.3">
      <c r="A15" s="11">
        <v>2003</v>
      </c>
      <c r="B15" s="14" t="s">
        <v>100</v>
      </c>
      <c r="C15" s="14"/>
      <c r="D15" s="7">
        <v>15451</v>
      </c>
      <c r="E15" s="7">
        <v>33.406283095904797</v>
      </c>
      <c r="F15" s="7">
        <v>0.12808661991078901</v>
      </c>
      <c r="G15" s="7">
        <v>7.0856428035755798E-3</v>
      </c>
      <c r="H15" s="7">
        <v>515.70816368308203</v>
      </c>
      <c r="I15" s="7">
        <v>1.97949542359808</v>
      </c>
      <c r="J15" s="7">
        <v>0.10950400215649</v>
      </c>
      <c r="K15" s="7">
        <v>2364.2529800000002</v>
      </c>
      <c r="L15" s="7">
        <v>6.5352566458433703</v>
      </c>
    </row>
    <row r="16" spans="1:12" x14ac:dyDescent="0.3">
      <c r="A16" s="11">
        <v>2004</v>
      </c>
      <c r="B16" s="14" t="s">
        <v>100</v>
      </c>
      <c r="C16" s="14"/>
      <c r="D16" s="7">
        <v>839</v>
      </c>
      <c r="E16" s="7">
        <v>33.406283095904797</v>
      </c>
      <c r="F16" s="7">
        <v>0.12808661991078901</v>
      </c>
      <c r="G16" s="7">
        <v>7.0856428035755798E-3</v>
      </c>
      <c r="H16" s="7">
        <v>28.027871517464199</v>
      </c>
      <c r="I16" s="7">
        <v>0.10746467410515199</v>
      </c>
      <c r="J16" s="7">
        <v>5.9448543121999103E-3</v>
      </c>
      <c r="K16" s="7">
        <v>2364.5567500000002</v>
      </c>
      <c r="L16" s="7">
        <v>0.354823372287428</v>
      </c>
    </row>
    <row r="17" spans="1:12" x14ac:dyDescent="0.3">
      <c r="A17" s="11">
        <v>2005</v>
      </c>
      <c r="B17" s="14" t="s">
        <v>100</v>
      </c>
      <c r="C17" s="14"/>
      <c r="D17" s="7">
        <v>930</v>
      </c>
      <c r="E17" s="7">
        <v>33.406283095904797</v>
      </c>
      <c r="F17" s="7">
        <v>0.12808661991078901</v>
      </c>
      <c r="G17" s="7">
        <v>7.0856428035755798E-3</v>
      </c>
      <c r="H17" s="7">
        <v>30.925349353800001</v>
      </c>
      <c r="I17" s="7">
        <v>0.119255723731043</v>
      </c>
      <c r="J17" s="7">
        <v>6.5971251425683804E-3</v>
      </c>
      <c r="K17" s="7">
        <v>2367.23758</v>
      </c>
      <c r="L17" s="7">
        <v>0.39286297575590201</v>
      </c>
    </row>
    <row r="18" spans="1:12" x14ac:dyDescent="0.3">
      <c r="A18" s="11">
        <v>2006</v>
      </c>
      <c r="B18" s="14" t="s">
        <v>100</v>
      </c>
      <c r="C18" s="14"/>
      <c r="D18" s="7">
        <v>2348</v>
      </c>
      <c r="E18" s="7">
        <v>33.406283095904797</v>
      </c>
      <c r="F18" s="7">
        <v>0.12808661991078901</v>
      </c>
      <c r="G18" s="7">
        <v>7.0856428035755798E-3</v>
      </c>
      <c r="H18" s="7">
        <v>78.226247448603004</v>
      </c>
      <c r="I18" s="7">
        <v>0.30094820341134698</v>
      </c>
      <c r="J18" s="7">
        <v>1.6648198486585102E-2</v>
      </c>
      <c r="K18" s="7">
        <v>2369.7577900000001</v>
      </c>
      <c r="L18" s="7">
        <v>0.99081855956257903</v>
      </c>
    </row>
    <row r="19" spans="1:12" x14ac:dyDescent="0.3">
      <c r="A19" s="11">
        <v>2007</v>
      </c>
      <c r="B19" s="14" t="s">
        <v>100</v>
      </c>
      <c r="C19" s="14"/>
      <c r="D19" s="7">
        <v>12719</v>
      </c>
      <c r="E19" s="7">
        <v>33.406283095904797</v>
      </c>
      <c r="F19" s="7">
        <v>0.12808661991078901</v>
      </c>
      <c r="G19" s="7">
        <v>7.0856428035755798E-3</v>
      </c>
      <c r="H19" s="7">
        <v>423.71922480018497</v>
      </c>
      <c r="I19" s="7">
        <v>1.6302485778264899</v>
      </c>
      <c r="J19" s="7">
        <v>9.0183963879762699E-2</v>
      </c>
      <c r="K19" s="7">
        <v>2373.4951999999998</v>
      </c>
      <c r="L19" s="7">
        <v>5.3587637337543397</v>
      </c>
    </row>
    <row r="20" spans="1:12" x14ac:dyDescent="0.3">
      <c r="A20" s="11">
        <v>2008</v>
      </c>
      <c r="B20" s="14" t="s">
        <v>100</v>
      </c>
      <c r="C20" s="14"/>
      <c r="D20" s="7">
        <v>3713.9</v>
      </c>
      <c r="E20" s="7">
        <v>33.406283095904797</v>
      </c>
      <c r="F20" s="7">
        <v>0.12808661991078901</v>
      </c>
      <c r="G20" s="7">
        <v>7.0856428035755798E-3</v>
      </c>
      <c r="H20" s="7">
        <v>123.486870975085</v>
      </c>
      <c r="I20" s="7">
        <v>0.47625176201257502</v>
      </c>
      <c r="J20" s="7">
        <v>2.6345842153887099E-2</v>
      </c>
      <c r="K20" s="7">
        <v>2374.9196400000001</v>
      </c>
      <c r="L20" s="7">
        <v>1.5638002808381299</v>
      </c>
    </row>
    <row r="21" spans="1:12" x14ac:dyDescent="0.3">
      <c r="A21" s="11">
        <v>2009</v>
      </c>
      <c r="B21" s="14" t="s">
        <v>100</v>
      </c>
      <c r="C21" s="14"/>
      <c r="D21" s="7">
        <v>2095</v>
      </c>
      <c r="E21" s="7">
        <v>33.406283095904797</v>
      </c>
      <c r="F21" s="7">
        <v>0.12808661991078901</v>
      </c>
      <c r="G21" s="7">
        <v>7.0856428035755798E-3</v>
      </c>
      <c r="H21" s="7">
        <v>69.567638070770698</v>
      </c>
      <c r="I21" s="7">
        <v>0.26873847413025098</v>
      </c>
      <c r="J21" s="7">
        <v>1.4866383675290499E-2</v>
      </c>
      <c r="K21" s="7">
        <v>2378.7640000000001</v>
      </c>
      <c r="L21" s="7">
        <v>0.88070947769513896</v>
      </c>
    </row>
    <row r="22" spans="1:12" x14ac:dyDescent="0.3">
      <c r="A22" s="11">
        <v>2010</v>
      </c>
      <c r="B22" s="14" t="s">
        <v>100</v>
      </c>
      <c r="C22" s="14"/>
      <c r="D22" s="7">
        <v>705.67</v>
      </c>
      <c r="E22" s="7">
        <v>33.406283095904797</v>
      </c>
      <c r="F22" s="7">
        <v>0.12808661991078901</v>
      </c>
      <c r="G22" s="7">
        <v>7.0856428035755798E-3</v>
      </c>
      <c r="H22" s="7">
        <v>23.427246611884499</v>
      </c>
      <c r="I22" s="7">
        <v>9.0525914206856697E-2</v>
      </c>
      <c r="J22" s="7">
        <v>5.0078165305920703E-3</v>
      </c>
      <c r="K22" s="7">
        <v>2383.2222700000002</v>
      </c>
      <c r="L22" s="7">
        <v>0.296099112903976</v>
      </c>
    </row>
    <row r="23" spans="1:12" x14ac:dyDescent="0.3">
      <c r="A23" s="11">
        <v>2011</v>
      </c>
      <c r="B23" s="14" t="s">
        <v>100</v>
      </c>
      <c r="C23" s="14"/>
      <c r="D23" s="7">
        <v>6531.75</v>
      </c>
      <c r="E23" s="7">
        <v>33.406283095904797</v>
      </c>
      <c r="F23" s="7">
        <v>0.12808661991078901</v>
      </c>
      <c r="G23" s="7">
        <v>7.0856428035755798E-3</v>
      </c>
      <c r="H23" s="7">
        <v>217.76594675058001</v>
      </c>
      <c r="I23" s="7">
        <v>0.83704292784671996</v>
      </c>
      <c r="J23" s="7">
        <v>4.6304502391520799E-2</v>
      </c>
      <c r="K23" s="7">
        <v>2389.0755399999998</v>
      </c>
      <c r="L23" s="7">
        <v>2.7340073139755101</v>
      </c>
    </row>
    <row r="24" spans="1:12" x14ac:dyDescent="0.3">
      <c r="A24" s="11">
        <v>2012</v>
      </c>
      <c r="B24" s="14" t="s">
        <v>100</v>
      </c>
      <c r="C24" s="14"/>
      <c r="D24" s="7">
        <v>15512.62</v>
      </c>
      <c r="E24" s="7">
        <v>33.406283095904797</v>
      </c>
      <c r="F24" s="7">
        <v>0.12808661991078901</v>
      </c>
      <c r="G24" s="7">
        <v>7.0856428035755798E-3</v>
      </c>
      <c r="H24" s="7">
        <v>516.24417232347002</v>
      </c>
      <c r="I24" s="7">
        <v>1.98883232486987</v>
      </c>
      <c r="J24" s="7">
        <v>0.11002051158854501</v>
      </c>
      <c r="K24" s="7">
        <v>2393.8574699999999</v>
      </c>
      <c r="L24" s="7">
        <v>6.4801769505516997</v>
      </c>
    </row>
    <row r="25" spans="1:12" x14ac:dyDescent="0.3">
      <c r="A25" s="11">
        <v>2013</v>
      </c>
      <c r="B25" s="14" t="s">
        <v>100</v>
      </c>
      <c r="C25" s="14"/>
      <c r="D25" s="7">
        <v>625.74</v>
      </c>
      <c r="E25" s="7">
        <v>33.406283095904797</v>
      </c>
      <c r="F25" s="7">
        <v>0.12808661991078901</v>
      </c>
      <c r="G25" s="7">
        <v>7.0856428035755798E-3</v>
      </c>
      <c r="H25" s="7">
        <v>20.815952751490599</v>
      </c>
      <c r="I25" s="7">
        <v>8.02321073083994E-2</v>
      </c>
      <c r="J25" s="7">
        <v>4.4383718936561404E-3</v>
      </c>
      <c r="K25" s="7">
        <v>2400.8323599999999</v>
      </c>
      <c r="L25" s="7">
        <v>0.260634607574183</v>
      </c>
    </row>
    <row r="26" spans="1:12" x14ac:dyDescent="0.3">
      <c r="A26" s="11">
        <v>2014</v>
      </c>
      <c r="B26" s="14" t="s">
        <v>100</v>
      </c>
      <c r="C26" s="14"/>
      <c r="D26" s="7">
        <v>93.82</v>
      </c>
      <c r="E26" s="7">
        <v>33.406283095904797</v>
      </c>
      <c r="F26" s="7">
        <v>0.12808661991078901</v>
      </c>
      <c r="G26" s="7">
        <v>7.0856428035755798E-3</v>
      </c>
      <c r="H26" s="7">
        <v>3.0121212548224601</v>
      </c>
      <c r="I26" s="7">
        <v>1.21328670536305E-2</v>
      </c>
      <c r="J26" s="7">
        <v>6.7117987956253895E-4</v>
      </c>
      <c r="K26" s="7">
        <v>2409.1355400000002</v>
      </c>
      <c r="L26" s="7">
        <v>3.8943429475952203E-2</v>
      </c>
    </row>
    <row r="27" spans="1:12" x14ac:dyDescent="0.3">
      <c r="A27" s="11">
        <v>2015</v>
      </c>
      <c r="B27" s="14" t="s">
        <v>100</v>
      </c>
      <c r="C27" s="14"/>
      <c r="D27" s="7">
        <v>4221.4399999999996</v>
      </c>
      <c r="E27" s="7">
        <v>33.406283095904797</v>
      </c>
      <c r="F27" s="7">
        <v>0.12808661991078901</v>
      </c>
      <c r="G27" s="7">
        <v>7.0856428035755798E-3</v>
      </c>
      <c r="H27" s="7">
        <v>139.77274442394301</v>
      </c>
      <c r="I27" s="7">
        <v>0.54189559031908696</v>
      </c>
      <c r="J27" s="7">
        <v>2.99772028687155E-2</v>
      </c>
      <c r="K27" s="7">
        <v>2415.27421</v>
      </c>
      <c r="L27" s="7">
        <v>1.7478098273570399</v>
      </c>
    </row>
    <row r="28" spans="1:12" x14ac:dyDescent="0.3">
      <c r="A28" s="11">
        <v>2016</v>
      </c>
      <c r="B28" s="14" t="s">
        <v>100</v>
      </c>
      <c r="C28" s="14"/>
      <c r="D28" s="7">
        <v>3190.32</v>
      </c>
      <c r="E28" s="7">
        <v>33.406283095904797</v>
      </c>
      <c r="F28" s="7">
        <v>0.12808661991078901</v>
      </c>
      <c r="G28" s="7">
        <v>7.0856428035755798E-3</v>
      </c>
      <c r="H28" s="7">
        <v>103.63476279034499</v>
      </c>
      <c r="I28" s="7">
        <v>0.411428006153436</v>
      </c>
      <c r="J28" s="7">
        <v>2.27598471489136E-2</v>
      </c>
      <c r="K28" s="7">
        <v>2416.66752</v>
      </c>
      <c r="L28" s="7">
        <v>1.32013194764996</v>
      </c>
    </row>
    <row r="29" spans="1:12" x14ac:dyDescent="0.3">
      <c r="A29" s="11">
        <v>2017</v>
      </c>
      <c r="B29" s="14" t="s">
        <v>100</v>
      </c>
      <c r="C29" s="14"/>
      <c r="D29" s="7">
        <v>26310.98</v>
      </c>
      <c r="E29" s="7">
        <v>33.406283095904797</v>
      </c>
      <c r="F29" s="7">
        <v>0.12808661991078901</v>
      </c>
      <c r="G29" s="7">
        <v>7.0856428035755798E-3</v>
      </c>
      <c r="H29" s="7">
        <v>870.50736784138996</v>
      </c>
      <c r="I29" s="7">
        <v>3.3780949672730398</v>
      </c>
      <c r="J29" s="7">
        <v>0.18687333861510499</v>
      </c>
      <c r="K29" s="7">
        <v>2420.5902500000002</v>
      </c>
      <c r="L29" s="7">
        <v>10.8696546224624</v>
      </c>
    </row>
    <row r="30" spans="1:12" x14ac:dyDescent="0.3">
      <c r="A30" s="11">
        <v>2018</v>
      </c>
      <c r="B30" s="14" t="s">
        <v>100</v>
      </c>
      <c r="C30" s="14"/>
      <c r="D30" s="7">
        <v>362.2</v>
      </c>
      <c r="E30" s="7">
        <v>33.406283095904797</v>
      </c>
      <c r="F30" s="7">
        <v>0.12808661991078901</v>
      </c>
      <c r="G30" s="7">
        <v>7.0856428035755798E-3</v>
      </c>
      <c r="H30" s="7">
        <v>11.525790205859799</v>
      </c>
      <c r="I30" s="7">
        <v>4.69374272697188E-2</v>
      </c>
      <c r="J30" s="7">
        <v>2.59653852981423E-3</v>
      </c>
      <c r="K30" s="7">
        <v>2422.3151400000002</v>
      </c>
      <c r="L30" s="7">
        <v>0.14952637417772199</v>
      </c>
    </row>
    <row r="31" spans="1:12" x14ac:dyDescent="0.3">
      <c r="A31" s="11">
        <v>2019</v>
      </c>
      <c r="B31" s="14" t="s">
        <v>100</v>
      </c>
      <c r="C31" s="14"/>
      <c r="D31" s="7">
        <v>989.67</v>
      </c>
      <c r="E31" s="7">
        <v>33.406283095904797</v>
      </c>
      <c r="F31" s="7">
        <v>0.12808661991078901</v>
      </c>
      <c r="G31" s="7">
        <v>7.0856428035755798E-3</v>
      </c>
      <c r="H31" s="7">
        <v>30.974677998291899</v>
      </c>
      <c r="I31" s="7">
        <v>0.12874271933225101</v>
      </c>
      <c r="J31" s="7">
        <v>7.1219376651884001E-3</v>
      </c>
      <c r="K31" s="7">
        <v>2422.8184500000002</v>
      </c>
      <c r="L31" s="7">
        <v>0.40847881111356099</v>
      </c>
    </row>
    <row r="32" spans="1:12" x14ac:dyDescent="0.3">
      <c r="A32" s="11">
        <v>2020</v>
      </c>
      <c r="B32" s="14" t="s">
        <v>100</v>
      </c>
      <c r="C32" s="14"/>
      <c r="D32" s="7">
        <v>12468.34</v>
      </c>
      <c r="E32" s="7">
        <v>33.406283095904797</v>
      </c>
      <c r="F32" s="7">
        <v>0.12808661991078901</v>
      </c>
      <c r="G32" s="7">
        <v>7.0856428035755798E-3</v>
      </c>
      <c r="H32" s="7">
        <v>414.83450052526098</v>
      </c>
      <c r="I32" s="7">
        <v>1.5986272111666899</v>
      </c>
      <c r="J32" s="7">
        <v>8.84346967879448E-2</v>
      </c>
      <c r="K32" s="7">
        <v>2423.1396100000002</v>
      </c>
      <c r="L32" s="7">
        <v>5.1455310080131902</v>
      </c>
    </row>
    <row r="33" spans="1:12" x14ac:dyDescent="0.3">
      <c r="A33" s="11">
        <v>2021</v>
      </c>
      <c r="B33" s="14" t="s">
        <v>100</v>
      </c>
      <c r="C33" s="14"/>
      <c r="D33" s="7">
        <v>1821.29</v>
      </c>
      <c r="E33" s="7">
        <v>33.406283095904797</v>
      </c>
      <c r="F33" s="7">
        <v>0.12808661991078901</v>
      </c>
      <c r="G33" s="7">
        <v>7.0856428035755798E-3</v>
      </c>
      <c r="H33" s="7">
        <v>59.401223640680797</v>
      </c>
      <c r="I33" s="7">
        <v>0.23465007703742699</v>
      </c>
      <c r="J33" s="7">
        <v>1.2980642559517299E-2</v>
      </c>
      <c r="K33" s="7">
        <v>2423.5261399999999</v>
      </c>
      <c r="L33" s="7">
        <v>0.751504169870435</v>
      </c>
    </row>
    <row r="34" spans="1:12" x14ac:dyDescent="0.3">
      <c r="A34" s="11">
        <v>2022</v>
      </c>
      <c r="B34" s="14" t="s">
        <v>100</v>
      </c>
      <c r="C34" s="14"/>
      <c r="D34" s="7">
        <v>12171.98</v>
      </c>
      <c r="E34" s="7">
        <v>33.406283095904797</v>
      </c>
      <c r="F34" s="7">
        <v>0.12808661991078901</v>
      </c>
      <c r="G34" s="7">
        <v>7.0856428035755798E-3</v>
      </c>
      <c r="H34" s="7">
        <v>399.41570972439803</v>
      </c>
      <c r="I34" s="7">
        <v>1.5659022163540901</v>
      </c>
      <c r="J34" s="7">
        <v>8.6624377925971302E-2</v>
      </c>
      <c r="K34" s="7">
        <v>2423.6319400000002</v>
      </c>
      <c r="L34" s="7">
        <v>5.0222064658877201</v>
      </c>
    </row>
    <row r="35" spans="1:12" x14ac:dyDescent="0.3">
      <c r="A35" s="11">
        <v>2023</v>
      </c>
      <c r="B35" s="14"/>
      <c r="C35" s="14"/>
      <c r="D35" s="7">
        <v>320.64999999999998</v>
      </c>
      <c r="E35" s="7">
        <v>33.406283095904797</v>
      </c>
      <c r="F35" s="7">
        <v>0.12808661991078901</v>
      </c>
      <c r="G35" s="7">
        <v>7.0856428035755798E-3</v>
      </c>
      <c r="H35" s="7">
        <v>10.540976239532799</v>
      </c>
      <c r="I35" s="7">
        <v>4.1232943615982197E-2</v>
      </c>
      <c r="J35" s="7">
        <v>2.2809713489692299E-3</v>
      </c>
      <c r="K35" s="7">
        <v>2424.65274</v>
      </c>
      <c r="L35" s="7">
        <v>0.132245741713925</v>
      </c>
    </row>
    <row r="36" spans="1:12" x14ac:dyDescent="0.3">
      <c r="A36" s="12">
        <v>2024</v>
      </c>
      <c r="B36" s="5"/>
      <c r="C36" s="5"/>
      <c r="D36" s="8">
        <v>4984.3100000000004</v>
      </c>
      <c r="E36" s="8">
        <v>33.406283095904797</v>
      </c>
      <c r="F36" s="8">
        <v>0.12808661991078901</v>
      </c>
      <c r="G36" s="8">
        <v>7.0856428035755798E-3</v>
      </c>
      <c r="H36" s="8">
        <v>164.085606991996</v>
      </c>
      <c r="I36" s="8">
        <v>0.64072056798003896</v>
      </c>
      <c r="J36" s="8">
        <v>3.5444116526555401E-2</v>
      </c>
      <c r="K36" s="8">
        <v>2425.6691599999999</v>
      </c>
      <c r="L36" s="8">
        <v>2.0548185557176302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.77734375" customWidth="1"/>
    <col min="2" max="2" width="11.77734375" customWidth="1"/>
    <col min="3" max="3" width="4.109375" customWidth="1"/>
    <col min="4" max="4" width="5.88671875" customWidth="1"/>
    <col min="5" max="7" width="6.77734375" customWidth="1"/>
    <col min="8" max="10" width="11.77734375" customWidth="1"/>
    <col min="11" max="11" width="9.77734375" customWidth="1"/>
    <col min="12" max="12" width="4.109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99</v>
      </c>
      <c r="C2" s="13" t="s">
        <v>100</v>
      </c>
      <c r="D2" s="6"/>
      <c r="E2" s="6"/>
      <c r="F2" s="6"/>
      <c r="G2" s="6"/>
      <c r="H2" s="6">
        <v>20.996808709613202</v>
      </c>
      <c r="I2" s="6">
        <v>6.2896750118025396E-2</v>
      </c>
      <c r="J2" s="6">
        <v>3.47939468738013E-3</v>
      </c>
      <c r="K2" s="6">
        <v>491.56565000000001</v>
      </c>
      <c r="L2" s="6"/>
    </row>
    <row r="3" spans="1:12" x14ac:dyDescent="0.3">
      <c r="A3" s="11">
        <v>1991</v>
      </c>
      <c r="B3" s="14" t="s">
        <v>99</v>
      </c>
      <c r="C3" s="14" t="s">
        <v>100</v>
      </c>
      <c r="D3" s="7"/>
      <c r="E3" s="7"/>
      <c r="F3" s="7"/>
      <c r="G3" s="7"/>
      <c r="H3" s="7">
        <v>11.150749074172399</v>
      </c>
      <c r="I3" s="7">
        <v>3.3402498820019402E-2</v>
      </c>
      <c r="J3" s="7">
        <v>1.8477978070649099E-3</v>
      </c>
      <c r="K3" s="7">
        <v>511.09204999999997</v>
      </c>
      <c r="L3" s="7"/>
    </row>
    <row r="4" spans="1:12" x14ac:dyDescent="0.3">
      <c r="A4" s="11">
        <v>1992</v>
      </c>
      <c r="B4" s="14" t="s">
        <v>99</v>
      </c>
      <c r="C4" s="14" t="s">
        <v>100</v>
      </c>
      <c r="D4" s="7"/>
      <c r="E4" s="7"/>
      <c r="F4" s="7"/>
      <c r="G4" s="7"/>
      <c r="H4" s="7">
        <v>4.6132763216074704</v>
      </c>
      <c r="I4" s="7">
        <v>1.3819247107428399E-2</v>
      </c>
      <c r="J4" s="7">
        <v>7.6446898892156999E-4</v>
      </c>
      <c r="K4" s="7">
        <v>529.37045000000001</v>
      </c>
      <c r="L4" s="7"/>
    </row>
    <row r="5" spans="1:12" x14ac:dyDescent="0.3">
      <c r="A5" s="11">
        <v>1993</v>
      </c>
      <c r="B5" s="14" t="s">
        <v>99</v>
      </c>
      <c r="C5" s="14" t="s">
        <v>100</v>
      </c>
      <c r="D5" s="7"/>
      <c r="E5" s="7"/>
      <c r="F5" s="7"/>
      <c r="G5" s="7"/>
      <c r="H5" s="7">
        <v>17.424001373596699</v>
      </c>
      <c r="I5" s="7">
        <v>5.2194267976994599E-2</v>
      </c>
      <c r="J5" s="7">
        <v>2.8873424838337402E-3</v>
      </c>
      <c r="K5" s="7">
        <v>545.34784999999999</v>
      </c>
      <c r="L5" s="7"/>
    </row>
    <row r="6" spans="1:12" x14ac:dyDescent="0.3">
      <c r="A6" s="11">
        <v>1994</v>
      </c>
      <c r="B6" s="14" t="s">
        <v>99</v>
      </c>
      <c r="C6" s="14" t="s">
        <v>100</v>
      </c>
      <c r="D6" s="7"/>
      <c r="E6" s="7"/>
      <c r="F6" s="7"/>
      <c r="G6" s="7"/>
      <c r="H6" s="7">
        <v>21.608360193824101</v>
      </c>
      <c r="I6" s="7">
        <v>6.4728676170155E-2</v>
      </c>
      <c r="J6" s="7">
        <v>3.5807352774979398E-3</v>
      </c>
      <c r="K6" s="7">
        <v>564.78625</v>
      </c>
      <c r="L6" s="7"/>
    </row>
    <row r="7" spans="1:12" x14ac:dyDescent="0.3">
      <c r="A7" s="11">
        <v>1995</v>
      </c>
      <c r="B7" s="14" t="s">
        <v>99</v>
      </c>
      <c r="C7" s="14" t="s">
        <v>100</v>
      </c>
      <c r="D7" s="7"/>
      <c r="E7" s="7"/>
      <c r="F7" s="7"/>
      <c r="G7" s="7"/>
      <c r="H7" s="7">
        <v>33.049211840113003</v>
      </c>
      <c r="I7" s="7">
        <v>9.9000188431186104E-2</v>
      </c>
      <c r="J7" s="7">
        <v>5.4766061685337002E-3</v>
      </c>
      <c r="K7" s="7">
        <v>588.56295</v>
      </c>
      <c r="L7" s="7"/>
    </row>
    <row r="8" spans="1:12" x14ac:dyDescent="0.3">
      <c r="A8" s="11">
        <v>1996</v>
      </c>
      <c r="B8" s="14" t="s">
        <v>99</v>
      </c>
      <c r="C8" s="14" t="s">
        <v>100</v>
      </c>
      <c r="D8" s="7"/>
      <c r="E8" s="7"/>
      <c r="F8" s="7"/>
      <c r="G8" s="7"/>
      <c r="H8" s="7">
        <v>54.283624691067402</v>
      </c>
      <c r="I8" s="7">
        <v>0.162608690916518</v>
      </c>
      <c r="J8" s="7">
        <v>8.9953743911265205E-3</v>
      </c>
      <c r="K8" s="7">
        <v>610.01065000000006</v>
      </c>
      <c r="L8" s="7"/>
    </row>
    <row r="9" spans="1:12" x14ac:dyDescent="0.3">
      <c r="A9" s="11">
        <v>1997</v>
      </c>
      <c r="B9" s="14" t="s">
        <v>99</v>
      </c>
      <c r="C9" s="14" t="s">
        <v>100</v>
      </c>
      <c r="D9" s="7"/>
      <c r="E9" s="7"/>
      <c r="F9" s="7"/>
      <c r="G9" s="7"/>
      <c r="H9" s="7">
        <v>16.572723336125801</v>
      </c>
      <c r="I9" s="7">
        <v>4.96442317908165E-2</v>
      </c>
      <c r="J9" s="7">
        <v>2.7462766522579401E-3</v>
      </c>
      <c r="K9" s="7">
        <v>621.51134999999999</v>
      </c>
      <c r="L9" s="7"/>
    </row>
    <row r="10" spans="1:12" x14ac:dyDescent="0.3">
      <c r="A10" s="11">
        <v>1998</v>
      </c>
      <c r="B10" s="14" t="s">
        <v>99</v>
      </c>
      <c r="C10" s="14" t="s">
        <v>100</v>
      </c>
      <c r="D10" s="7"/>
      <c r="E10" s="7"/>
      <c r="F10" s="7"/>
      <c r="G10" s="7"/>
      <c r="H10" s="7">
        <v>5.44554272157648</v>
      </c>
      <c r="I10" s="7">
        <v>1.6312333200388399E-2</v>
      </c>
      <c r="J10" s="7">
        <v>9.0238438980872198E-4</v>
      </c>
      <c r="K10" s="7">
        <v>634.10604999999998</v>
      </c>
      <c r="L10" s="7"/>
    </row>
    <row r="11" spans="1:12" x14ac:dyDescent="0.3">
      <c r="A11" s="11">
        <v>1999</v>
      </c>
      <c r="B11" s="14" t="s">
        <v>99</v>
      </c>
      <c r="C11" s="14" t="s">
        <v>100</v>
      </c>
      <c r="D11" s="7"/>
      <c r="E11" s="7"/>
      <c r="F11" s="7"/>
      <c r="G11" s="7"/>
      <c r="H11" s="7">
        <v>3.2092795962084502</v>
      </c>
      <c r="I11" s="7">
        <v>9.6135207789545506E-3</v>
      </c>
      <c r="J11" s="7">
        <v>5.3181178777195399E-4</v>
      </c>
      <c r="K11" s="7">
        <v>646.44074999999998</v>
      </c>
      <c r="L11" s="7"/>
    </row>
    <row r="12" spans="1:12" x14ac:dyDescent="0.3">
      <c r="A12" s="11">
        <v>2000</v>
      </c>
      <c r="B12" s="14" t="s">
        <v>99</v>
      </c>
      <c r="C12" s="14" t="s">
        <v>100</v>
      </c>
      <c r="D12" s="7"/>
      <c r="E12" s="7"/>
      <c r="F12" s="7"/>
      <c r="G12" s="7"/>
      <c r="H12" s="7">
        <v>17.9244459752796</v>
      </c>
      <c r="I12" s="7">
        <v>5.3693369078275502E-2</v>
      </c>
      <c r="J12" s="7">
        <v>2.9702714809258799E-3</v>
      </c>
      <c r="K12" s="7">
        <v>662.87874999999997</v>
      </c>
      <c r="L12" s="7"/>
    </row>
    <row r="13" spans="1:12" x14ac:dyDescent="0.3">
      <c r="A13" s="11">
        <v>2001</v>
      </c>
      <c r="B13" s="14" t="s">
        <v>99</v>
      </c>
      <c r="C13" s="14" t="s">
        <v>100</v>
      </c>
      <c r="D13" s="7"/>
      <c r="E13" s="7"/>
      <c r="F13" s="7"/>
      <c r="G13" s="7"/>
      <c r="H13" s="7">
        <v>46.976022181918999</v>
      </c>
      <c r="I13" s="7">
        <v>0.14071848582219201</v>
      </c>
      <c r="J13" s="7">
        <v>7.7844268752701997E-3</v>
      </c>
      <c r="K13" s="7">
        <v>677.48675000000003</v>
      </c>
      <c r="L13" s="7"/>
    </row>
    <row r="14" spans="1:12" x14ac:dyDescent="0.3">
      <c r="A14" s="11">
        <v>2002</v>
      </c>
      <c r="B14" s="14" t="s">
        <v>99</v>
      </c>
      <c r="C14" s="14" t="s">
        <v>100</v>
      </c>
      <c r="D14" s="7"/>
      <c r="E14" s="7"/>
      <c r="F14" s="7"/>
      <c r="G14" s="7"/>
      <c r="H14" s="7">
        <v>3.7419754453901999</v>
      </c>
      <c r="I14" s="7">
        <v>1.12092317357132E-2</v>
      </c>
      <c r="J14" s="7">
        <v>6.2008515984796205E-4</v>
      </c>
      <c r="K14" s="7">
        <v>693.74075000000005</v>
      </c>
      <c r="L14" s="7"/>
    </row>
    <row r="15" spans="1:12" x14ac:dyDescent="0.3">
      <c r="A15" s="11">
        <v>2003</v>
      </c>
      <c r="B15" s="14" t="s">
        <v>99</v>
      </c>
      <c r="C15" s="14" t="s">
        <v>100</v>
      </c>
      <c r="D15" s="7"/>
      <c r="E15" s="7"/>
      <c r="F15" s="7"/>
      <c r="G15" s="7"/>
      <c r="H15" s="7">
        <v>46.722854220112197</v>
      </c>
      <c r="I15" s="7">
        <v>0.13996011143054701</v>
      </c>
      <c r="J15" s="7">
        <v>7.7424742493493797E-3</v>
      </c>
      <c r="K15" s="7">
        <v>700.83775000000003</v>
      </c>
      <c r="L15" s="7"/>
    </row>
    <row r="16" spans="1:12" x14ac:dyDescent="0.3">
      <c r="A16" s="11">
        <v>2004</v>
      </c>
      <c r="B16" s="14" t="s">
        <v>99</v>
      </c>
      <c r="C16" s="14" t="s">
        <v>100</v>
      </c>
      <c r="D16" s="7"/>
      <c r="E16" s="7"/>
      <c r="F16" s="7"/>
      <c r="G16" s="7"/>
      <c r="H16" s="7">
        <v>34.507165044352199</v>
      </c>
      <c r="I16" s="7">
        <v>0.10336754347256601</v>
      </c>
      <c r="J16" s="7">
        <v>5.7182045325249098E-3</v>
      </c>
      <c r="K16" s="7">
        <v>707.37675000000002</v>
      </c>
      <c r="L16" s="7"/>
    </row>
    <row r="17" spans="1:12" x14ac:dyDescent="0.3">
      <c r="A17" s="11">
        <v>2005</v>
      </c>
      <c r="B17" s="14" t="s">
        <v>99</v>
      </c>
      <c r="C17" s="14" t="s">
        <v>100</v>
      </c>
      <c r="D17" s="7"/>
      <c r="E17" s="7"/>
      <c r="F17" s="7"/>
      <c r="G17" s="7"/>
      <c r="H17" s="7">
        <v>6.7893512527553002</v>
      </c>
      <c r="I17" s="7">
        <v>2.0337763472243399E-2</v>
      </c>
      <c r="J17" s="7">
        <v>1.1250677665496399E-3</v>
      </c>
      <c r="K17" s="7">
        <v>717.87275</v>
      </c>
      <c r="L17" s="7"/>
    </row>
    <row r="18" spans="1:12" x14ac:dyDescent="0.3">
      <c r="A18" s="11">
        <v>2006</v>
      </c>
      <c r="B18" s="14" t="s">
        <v>99</v>
      </c>
      <c r="C18" s="14" t="s">
        <v>100</v>
      </c>
      <c r="D18" s="7"/>
      <c r="E18" s="7"/>
      <c r="F18" s="7"/>
      <c r="G18" s="7"/>
      <c r="H18" s="7">
        <v>27.222156611437299</v>
      </c>
      <c r="I18" s="7">
        <v>8.1545019804815405E-2</v>
      </c>
      <c r="J18" s="7">
        <v>4.5110010955855297E-3</v>
      </c>
      <c r="K18" s="7">
        <v>723.90975000000003</v>
      </c>
      <c r="L18" s="7"/>
    </row>
    <row r="19" spans="1:12" x14ac:dyDescent="0.3">
      <c r="A19" s="11">
        <v>2007</v>
      </c>
      <c r="B19" s="14" t="s">
        <v>99</v>
      </c>
      <c r="C19" s="14" t="s">
        <v>100</v>
      </c>
      <c r="D19" s="7"/>
      <c r="E19" s="7"/>
      <c r="F19" s="7"/>
      <c r="G19" s="7"/>
      <c r="H19" s="7">
        <v>34.921962380015898</v>
      </c>
      <c r="I19" s="7">
        <v>0.104610084885962</v>
      </c>
      <c r="J19" s="7">
        <v>5.7869408660319501E-3</v>
      </c>
      <c r="K19" s="7">
        <v>731.88475000000005</v>
      </c>
      <c r="L19" s="7"/>
    </row>
    <row r="20" spans="1:12" x14ac:dyDescent="0.3">
      <c r="A20" s="11">
        <v>2008</v>
      </c>
      <c r="B20" s="14" t="s">
        <v>99</v>
      </c>
      <c r="C20" s="14" t="s">
        <v>100</v>
      </c>
      <c r="D20" s="7"/>
      <c r="E20" s="7"/>
      <c r="F20" s="7"/>
      <c r="G20" s="7"/>
      <c r="H20" s="7">
        <v>27.7819088856447</v>
      </c>
      <c r="I20" s="7">
        <v>8.3221779326023093E-2</v>
      </c>
      <c r="J20" s="7">
        <v>4.6037580052693599E-3</v>
      </c>
      <c r="K20" s="7">
        <v>736.53375000000005</v>
      </c>
      <c r="L20" s="7"/>
    </row>
    <row r="21" spans="1:12" x14ac:dyDescent="0.3">
      <c r="A21" s="11">
        <v>2009</v>
      </c>
      <c r="B21" s="14" t="s">
        <v>99</v>
      </c>
      <c r="C21" s="14" t="s">
        <v>100</v>
      </c>
      <c r="D21" s="7"/>
      <c r="E21" s="7"/>
      <c r="F21" s="7"/>
      <c r="G21" s="7"/>
      <c r="H21" s="7">
        <v>7.8675510544522496</v>
      </c>
      <c r="I21" s="7">
        <v>2.3567552553171198E-2</v>
      </c>
      <c r="J21" s="7">
        <v>1.3037369497499E-3</v>
      </c>
      <c r="K21" s="7">
        <v>741.58155999999997</v>
      </c>
      <c r="L21" s="7"/>
    </row>
    <row r="22" spans="1:12" x14ac:dyDescent="0.3">
      <c r="A22" s="11">
        <v>2010</v>
      </c>
      <c r="B22" s="14" t="s">
        <v>99</v>
      </c>
      <c r="C22" s="14" t="s">
        <v>100</v>
      </c>
      <c r="D22" s="7"/>
      <c r="E22" s="7"/>
      <c r="F22" s="7"/>
      <c r="G22" s="7"/>
      <c r="H22" s="7">
        <v>92.892252548539304</v>
      </c>
      <c r="I22" s="7">
        <v>0.27826232439651699</v>
      </c>
      <c r="J22" s="7">
        <v>1.53932349666158E-2</v>
      </c>
      <c r="K22" s="7">
        <v>751.09555999999998</v>
      </c>
      <c r="L22" s="7"/>
    </row>
    <row r="23" spans="1:12" x14ac:dyDescent="0.3">
      <c r="A23" s="11">
        <v>2011</v>
      </c>
      <c r="B23" s="14" t="s">
        <v>99</v>
      </c>
      <c r="C23" s="14" t="s">
        <v>100</v>
      </c>
      <c r="D23" s="7"/>
      <c r="E23" s="7"/>
      <c r="F23" s="7"/>
      <c r="G23" s="7"/>
      <c r="H23" s="7">
        <v>96.994648896928794</v>
      </c>
      <c r="I23" s="7">
        <v>0.29055121084484697</v>
      </c>
      <c r="J23" s="7">
        <v>1.6073045706310699E-2</v>
      </c>
      <c r="K23" s="7">
        <v>754.94856000000004</v>
      </c>
      <c r="L23" s="7"/>
    </row>
    <row r="24" spans="1:12" x14ac:dyDescent="0.3">
      <c r="A24" s="11">
        <v>2012</v>
      </c>
      <c r="B24" s="14" t="s">
        <v>99</v>
      </c>
      <c r="C24" s="14" t="s">
        <v>100</v>
      </c>
      <c r="D24" s="7"/>
      <c r="E24" s="7"/>
      <c r="F24" s="7"/>
      <c r="G24" s="7"/>
      <c r="H24" s="7">
        <v>2.8864905947059798</v>
      </c>
      <c r="I24" s="7">
        <v>8.6465938783416799E-3</v>
      </c>
      <c r="J24" s="7">
        <v>4.7832221454656101E-4</v>
      </c>
      <c r="K24" s="7">
        <v>760.80056000000002</v>
      </c>
      <c r="L24" s="7"/>
    </row>
    <row r="25" spans="1:12" x14ac:dyDescent="0.3">
      <c r="A25" s="11">
        <v>2013</v>
      </c>
      <c r="B25" s="14" t="s">
        <v>99</v>
      </c>
      <c r="C25" s="14" t="s">
        <v>100</v>
      </c>
      <c r="D25" s="7"/>
      <c r="E25" s="7"/>
      <c r="F25" s="7"/>
      <c r="G25" s="7"/>
      <c r="H25" s="7">
        <v>25.474874403366599</v>
      </c>
      <c r="I25" s="7">
        <v>7.6310968576050395E-2</v>
      </c>
      <c r="J25" s="7">
        <v>4.2214578361219404E-3</v>
      </c>
      <c r="K25" s="7">
        <v>765.85262</v>
      </c>
      <c r="L25" s="7"/>
    </row>
    <row r="26" spans="1:12" x14ac:dyDescent="0.3">
      <c r="A26" s="11">
        <v>2014</v>
      </c>
      <c r="B26" s="14" t="s">
        <v>99</v>
      </c>
      <c r="C26" s="14" t="s">
        <v>100</v>
      </c>
      <c r="D26" s="7"/>
      <c r="E26" s="7"/>
      <c r="F26" s="7"/>
      <c r="G26" s="7"/>
      <c r="H26" s="7">
        <v>21.376894447694902</v>
      </c>
      <c r="I26" s="7">
        <v>6.4035311602400294E-2</v>
      </c>
      <c r="J26" s="7">
        <v>3.5423789397072501E-3</v>
      </c>
      <c r="K26" s="7">
        <v>771.60902999999996</v>
      </c>
      <c r="L26" s="7"/>
    </row>
    <row r="27" spans="1:12" x14ac:dyDescent="0.3">
      <c r="A27" s="11">
        <v>2015</v>
      </c>
      <c r="B27" s="14" t="s">
        <v>99</v>
      </c>
      <c r="C27" s="14" t="s">
        <v>100</v>
      </c>
      <c r="D27" s="7"/>
      <c r="E27" s="7"/>
      <c r="F27" s="7"/>
      <c r="G27" s="7"/>
      <c r="H27" s="7">
        <v>12.066162251071599</v>
      </c>
      <c r="I27" s="7">
        <v>3.6144654289379602E-2</v>
      </c>
      <c r="J27" s="7">
        <v>1.99949151388057E-3</v>
      </c>
      <c r="K27" s="7">
        <v>778.30183999999997</v>
      </c>
      <c r="L27" s="7"/>
    </row>
    <row r="28" spans="1:12" x14ac:dyDescent="0.3">
      <c r="A28" s="11">
        <v>2016</v>
      </c>
      <c r="B28" s="14" t="s">
        <v>99</v>
      </c>
      <c r="C28" s="14" t="s">
        <v>100</v>
      </c>
      <c r="D28" s="7"/>
      <c r="E28" s="7"/>
      <c r="F28" s="7"/>
      <c r="G28" s="7"/>
      <c r="H28" s="7">
        <v>2.4712425435715502</v>
      </c>
      <c r="I28" s="7">
        <v>7.4027023293730303E-3</v>
      </c>
      <c r="J28" s="7">
        <v>4.0951119268872098E-4</v>
      </c>
      <c r="K28" s="7">
        <v>785.60163999999997</v>
      </c>
      <c r="L28" s="7"/>
    </row>
    <row r="29" spans="1:12" x14ac:dyDescent="0.3">
      <c r="A29" s="11">
        <v>2017</v>
      </c>
      <c r="B29" s="14" t="s">
        <v>99</v>
      </c>
      <c r="C29" s="14" t="s">
        <v>100</v>
      </c>
      <c r="D29" s="7"/>
      <c r="E29" s="7"/>
      <c r="F29" s="7"/>
      <c r="G29" s="7"/>
      <c r="H29" s="7">
        <v>132.006481395317</v>
      </c>
      <c r="I29" s="7">
        <v>0.39543050513574801</v>
      </c>
      <c r="J29" s="7">
        <v>2.18748790075095E-2</v>
      </c>
      <c r="K29" s="7">
        <v>791.13738999999998</v>
      </c>
      <c r="L29" s="7"/>
    </row>
    <row r="30" spans="1:12" x14ac:dyDescent="0.3">
      <c r="A30" s="11">
        <v>2018</v>
      </c>
      <c r="B30" s="14" t="s">
        <v>99</v>
      </c>
      <c r="C30" s="14" t="s">
        <v>100</v>
      </c>
      <c r="D30" s="7"/>
      <c r="E30" s="7"/>
      <c r="F30" s="7"/>
      <c r="G30" s="7"/>
      <c r="H30" s="7">
        <v>34.368212097634299</v>
      </c>
      <c r="I30" s="7">
        <v>0.102951304562703</v>
      </c>
      <c r="J30" s="7">
        <v>5.6951785502772001E-3</v>
      </c>
      <c r="K30" s="7">
        <v>794.36287000000004</v>
      </c>
      <c r="L30" s="7"/>
    </row>
    <row r="31" spans="1:12" x14ac:dyDescent="0.3">
      <c r="A31" s="11">
        <v>2019</v>
      </c>
      <c r="B31" s="14" t="s">
        <v>99</v>
      </c>
      <c r="C31" s="14" t="s">
        <v>100</v>
      </c>
      <c r="D31" s="7"/>
      <c r="E31" s="7"/>
      <c r="F31" s="7"/>
      <c r="G31" s="7"/>
      <c r="H31" s="7">
        <v>4.05634851273477</v>
      </c>
      <c r="I31" s="7">
        <v>1.2150948381041001E-2</v>
      </c>
      <c r="J31" s="7">
        <v>6.7218012320652601E-4</v>
      </c>
      <c r="K31" s="7">
        <v>797.11275999999998</v>
      </c>
      <c r="L31" s="7"/>
    </row>
    <row r="32" spans="1:12" x14ac:dyDescent="0.3">
      <c r="A32" s="11">
        <v>2020</v>
      </c>
      <c r="B32" s="14" t="s">
        <v>99</v>
      </c>
      <c r="C32" s="14" t="s">
        <v>100</v>
      </c>
      <c r="D32" s="7"/>
      <c r="E32" s="7"/>
      <c r="F32" s="7"/>
      <c r="G32" s="7"/>
      <c r="H32" s="7">
        <v>22.003691952011401</v>
      </c>
      <c r="I32" s="7">
        <v>6.5912907695636305E-2</v>
      </c>
      <c r="J32" s="7">
        <v>3.64624595763095E-3</v>
      </c>
      <c r="K32" s="7">
        <v>798.74707999999998</v>
      </c>
      <c r="L32" s="7"/>
    </row>
    <row r="33" spans="1:12" x14ac:dyDescent="0.3">
      <c r="A33" s="11">
        <v>2021</v>
      </c>
      <c r="B33" s="14" t="s">
        <v>99</v>
      </c>
      <c r="C33" s="14" t="s">
        <v>100</v>
      </c>
      <c r="D33" s="7"/>
      <c r="E33" s="7"/>
      <c r="F33" s="7"/>
      <c r="G33" s="7"/>
      <c r="H33" s="7">
        <v>7.6223842140061997</v>
      </c>
      <c r="I33" s="7">
        <v>2.2833145829081702E-2</v>
      </c>
      <c r="J33" s="7">
        <v>1.2631101948002599E-3</v>
      </c>
      <c r="K33" s="7">
        <v>800.76355999999998</v>
      </c>
      <c r="L33" s="7"/>
    </row>
    <row r="34" spans="1:12" x14ac:dyDescent="0.3">
      <c r="A34" s="11">
        <v>2022</v>
      </c>
      <c r="B34" s="14" t="s">
        <v>99</v>
      </c>
      <c r="C34" s="14" t="s">
        <v>100</v>
      </c>
      <c r="D34" s="7"/>
      <c r="E34" s="7"/>
      <c r="F34" s="7"/>
      <c r="G34" s="7"/>
      <c r="H34" s="7">
        <v>7.88600623098068</v>
      </c>
      <c r="I34" s="7">
        <v>2.3622835746086202E-2</v>
      </c>
      <c r="J34" s="7">
        <v>1.30679516893243E-3</v>
      </c>
      <c r="K34" s="7">
        <v>802.85545000000002</v>
      </c>
      <c r="L34" s="7"/>
    </row>
    <row r="35" spans="1:12" x14ac:dyDescent="0.3">
      <c r="A35" s="11">
        <v>2023</v>
      </c>
      <c r="B35" s="14" t="s">
        <v>99</v>
      </c>
      <c r="C35" s="14" t="s">
        <v>100</v>
      </c>
      <c r="D35" s="7"/>
      <c r="E35" s="7"/>
      <c r="F35" s="7"/>
      <c r="G35" s="7"/>
      <c r="H35" s="7">
        <v>12.179004061186101</v>
      </c>
      <c r="I35" s="7">
        <v>3.64826762827117E-2</v>
      </c>
      <c r="J35" s="7">
        <v>2.01819060287341E-3</v>
      </c>
      <c r="K35" s="7">
        <v>804.40310999999997</v>
      </c>
      <c r="L35" s="7"/>
    </row>
    <row r="36" spans="1:12" x14ac:dyDescent="0.3">
      <c r="A36" s="12">
        <v>2024</v>
      </c>
      <c r="B36" s="5" t="s">
        <v>99</v>
      </c>
      <c r="C36" s="5" t="s">
        <v>100</v>
      </c>
      <c r="D36" s="8"/>
      <c r="E36" s="8"/>
      <c r="F36" s="8"/>
      <c r="G36" s="8"/>
      <c r="H36" s="8">
        <v>1.8494580590245799</v>
      </c>
      <c r="I36" s="8">
        <v>5.5401229301564898E-3</v>
      </c>
      <c r="J36" s="8">
        <v>3.0647488549801898E-4</v>
      </c>
      <c r="K36" s="8">
        <v>805.90264000000002</v>
      </c>
      <c r="L36" s="8"/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.77734375" customWidth="1"/>
    <col min="2" max="2" width="11.77734375" customWidth="1"/>
    <col min="3" max="3" width="4.109375" customWidth="1"/>
    <col min="4" max="4" width="11.77734375" customWidth="1"/>
    <col min="5" max="5" width="6.77734375" customWidth="1"/>
    <col min="6" max="7" width="11.77734375" customWidth="1"/>
    <col min="8" max="8" width="5" customWidth="1"/>
    <col min="9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99</v>
      </c>
      <c r="C2" s="13" t="s">
        <v>100</v>
      </c>
      <c r="D2" s="6">
        <v>62239.280806860101</v>
      </c>
      <c r="E2" s="6"/>
      <c r="F2" s="6">
        <v>0.19485494919700599</v>
      </c>
      <c r="G2" s="6">
        <v>1.0779209955578999E-2</v>
      </c>
      <c r="H2" s="6"/>
      <c r="I2" s="6">
        <v>12.127631899678899</v>
      </c>
      <c r="J2" s="6">
        <v>0.67089027530138501</v>
      </c>
      <c r="K2" s="6">
        <v>7589.8034788714003</v>
      </c>
      <c r="L2" s="6">
        <v>8.2003810744405499</v>
      </c>
    </row>
    <row r="3" spans="1:12" x14ac:dyDescent="0.3">
      <c r="A3" s="11">
        <v>1991</v>
      </c>
      <c r="B3" s="14" t="s">
        <v>99</v>
      </c>
      <c r="C3" s="14" t="s">
        <v>100</v>
      </c>
      <c r="D3" s="7">
        <v>19082.243476319301</v>
      </c>
      <c r="E3" s="7"/>
      <c r="F3" s="7">
        <v>0.191098041697079</v>
      </c>
      <c r="G3" s="7">
        <v>1.0571381030051201E-2</v>
      </c>
      <c r="H3" s="7"/>
      <c r="I3" s="7">
        <v>3.6465793595114899</v>
      </c>
      <c r="J3" s="7">
        <v>0.20172566669638001</v>
      </c>
      <c r="K3" s="7">
        <v>7667.7632808231101</v>
      </c>
      <c r="L3" s="7">
        <v>2.4886323139426501</v>
      </c>
    </row>
    <row r="4" spans="1:12" x14ac:dyDescent="0.3">
      <c r="A4" s="11">
        <v>1992</v>
      </c>
      <c r="B4" s="14" t="s">
        <v>99</v>
      </c>
      <c r="C4" s="14" t="s">
        <v>100</v>
      </c>
      <c r="D4" s="7">
        <v>28157.882939569401</v>
      </c>
      <c r="E4" s="7"/>
      <c r="F4" s="7">
        <v>0.181200173971655</v>
      </c>
      <c r="G4" s="7">
        <v>1.00238394111979E-2</v>
      </c>
      <c r="H4" s="7"/>
      <c r="I4" s="7">
        <v>5.1022132873234698</v>
      </c>
      <c r="J4" s="7">
        <v>0.28225009674555401</v>
      </c>
      <c r="K4" s="7">
        <v>7745.7230827748199</v>
      </c>
      <c r="L4" s="7">
        <v>3.6352813854380801</v>
      </c>
    </row>
    <row r="5" spans="1:12" x14ac:dyDescent="0.3">
      <c r="A5" s="11">
        <v>1993</v>
      </c>
      <c r="B5" s="14" t="s">
        <v>99</v>
      </c>
      <c r="C5" s="14" t="s">
        <v>100</v>
      </c>
      <c r="D5" s="7">
        <v>73603.119822586799</v>
      </c>
      <c r="E5" s="7"/>
      <c r="F5" s="7">
        <v>0.165185983247542</v>
      </c>
      <c r="G5" s="7">
        <v>9.1379480094385106E-3</v>
      </c>
      <c r="H5" s="7"/>
      <c r="I5" s="7">
        <v>12.158203717980699</v>
      </c>
      <c r="J5" s="7">
        <v>0.67258148227127101</v>
      </c>
      <c r="K5" s="7">
        <v>7823.6828847265197</v>
      </c>
      <c r="L5" s="7">
        <v>9.4077330212700208</v>
      </c>
    </row>
    <row r="6" spans="1:12" x14ac:dyDescent="0.3">
      <c r="A6" s="11">
        <v>1994</v>
      </c>
      <c r="B6" s="14" t="s">
        <v>99</v>
      </c>
      <c r="C6" s="14" t="s">
        <v>100</v>
      </c>
      <c r="D6" s="7">
        <v>29787.7033504959</v>
      </c>
      <c r="E6" s="7"/>
      <c r="F6" s="7">
        <v>0.15944941399573401</v>
      </c>
      <c r="G6" s="7">
        <v>8.82060588061509E-3</v>
      </c>
      <c r="H6" s="7"/>
      <c r="I6" s="7">
        <v>4.7496318435153499</v>
      </c>
      <c r="J6" s="7">
        <v>0.26274559134340197</v>
      </c>
      <c r="K6" s="7">
        <v>7901.6426866782303</v>
      </c>
      <c r="L6" s="7">
        <v>3.7698114849860902</v>
      </c>
    </row>
    <row r="7" spans="1:12" x14ac:dyDescent="0.3">
      <c r="A7" s="11">
        <v>1995</v>
      </c>
      <c r="B7" s="14" t="s">
        <v>99</v>
      </c>
      <c r="C7" s="14" t="s">
        <v>100</v>
      </c>
      <c r="D7" s="7">
        <v>13278.261361040801</v>
      </c>
      <c r="E7" s="7"/>
      <c r="F7" s="7">
        <v>0.186102878544049</v>
      </c>
      <c r="G7" s="7">
        <v>1.02950528556283E-2</v>
      </c>
      <c r="H7" s="7"/>
      <c r="I7" s="7">
        <v>2.47112266134992</v>
      </c>
      <c r="J7" s="7">
        <v>0.136700402542762</v>
      </c>
      <c r="K7" s="7">
        <v>7979.6024886299301</v>
      </c>
      <c r="L7" s="7">
        <v>1.6640254173012901</v>
      </c>
    </row>
    <row r="8" spans="1:12" x14ac:dyDescent="0.3">
      <c r="A8" s="11">
        <v>1996</v>
      </c>
      <c r="B8" s="14" t="s">
        <v>99</v>
      </c>
      <c r="C8" s="14" t="s">
        <v>100</v>
      </c>
      <c r="D8" s="7">
        <v>12857.0504981471</v>
      </c>
      <c r="E8" s="7"/>
      <c r="F8" s="7">
        <v>0.164977193232904</v>
      </c>
      <c r="G8" s="7">
        <v>9.1263979235223208E-3</v>
      </c>
      <c r="H8" s="7"/>
      <c r="I8" s="7">
        <v>2.1211201044380199</v>
      </c>
      <c r="J8" s="7">
        <v>0.117338558968912</v>
      </c>
      <c r="K8" s="7">
        <v>8057.5622905816399</v>
      </c>
      <c r="L8" s="7">
        <v>1.59565015254992</v>
      </c>
    </row>
    <row r="9" spans="1:12" x14ac:dyDescent="0.3">
      <c r="A9" s="11">
        <v>1997</v>
      </c>
      <c r="B9" s="14" t="s">
        <v>99</v>
      </c>
      <c r="C9" s="14" t="s">
        <v>100</v>
      </c>
      <c r="D9" s="7">
        <v>39701.969847074899</v>
      </c>
      <c r="E9" s="7"/>
      <c r="F9" s="7">
        <v>0.186443708740576</v>
      </c>
      <c r="G9" s="7">
        <v>1.03139072920318E-2</v>
      </c>
      <c r="H9" s="7"/>
      <c r="I9" s="7">
        <v>7.4021825025951502</v>
      </c>
      <c r="J9" s="7">
        <v>0.40948243631377501</v>
      </c>
      <c r="K9" s="7">
        <v>8135.5220925333397</v>
      </c>
      <c r="L9" s="7">
        <v>4.8800764592001702</v>
      </c>
    </row>
    <row r="10" spans="1:12" x14ac:dyDescent="0.3">
      <c r="A10" s="11">
        <v>1998</v>
      </c>
      <c r="B10" s="14" t="s">
        <v>99</v>
      </c>
      <c r="C10" s="14" t="s">
        <v>100</v>
      </c>
      <c r="D10" s="7">
        <v>46179.509873737501</v>
      </c>
      <c r="E10" s="7"/>
      <c r="F10" s="7">
        <v>0.17045062591681601</v>
      </c>
      <c r="G10" s="7">
        <v>9.4291835613557595E-3</v>
      </c>
      <c r="H10" s="7"/>
      <c r="I10" s="7">
        <v>7.8713263625103203</v>
      </c>
      <c r="J10" s="7">
        <v>0.43543507537291098</v>
      </c>
      <c r="K10" s="7">
        <v>8213.4818944850504</v>
      </c>
      <c r="L10" s="7">
        <v>5.6224035636755696</v>
      </c>
    </row>
    <row r="11" spans="1:12" x14ac:dyDescent="0.3">
      <c r="A11" s="11">
        <v>1999</v>
      </c>
      <c r="B11" s="14" t="s">
        <v>99</v>
      </c>
      <c r="C11" s="14" t="s">
        <v>100</v>
      </c>
      <c r="D11" s="7">
        <v>24894.447425257898</v>
      </c>
      <c r="E11" s="7"/>
      <c r="F11" s="7">
        <v>0.18883998436058699</v>
      </c>
      <c r="G11" s="7">
        <v>1.04464672199474E-2</v>
      </c>
      <c r="H11" s="7"/>
      <c r="I11" s="7">
        <v>4.7010670624511599</v>
      </c>
      <c r="J11" s="7">
        <v>0.26005902898666</v>
      </c>
      <c r="K11" s="7">
        <v>8291.4416964367592</v>
      </c>
      <c r="L11" s="7">
        <v>3.0024268802319698</v>
      </c>
    </row>
    <row r="12" spans="1:12" x14ac:dyDescent="0.3">
      <c r="A12" s="11">
        <v>2000</v>
      </c>
      <c r="B12" s="14" t="s">
        <v>99</v>
      </c>
      <c r="C12" s="14" t="s">
        <v>100</v>
      </c>
      <c r="D12" s="7">
        <v>36830.020104732197</v>
      </c>
      <c r="E12" s="7"/>
      <c r="F12" s="7">
        <v>0.16595502108059701</v>
      </c>
      <c r="G12" s="7">
        <v>9.1804905278627894E-3</v>
      </c>
      <c r="H12" s="7"/>
      <c r="I12" s="7">
        <v>6.1121267628796199</v>
      </c>
      <c r="J12" s="7">
        <v>0.338117650712489</v>
      </c>
      <c r="K12" s="7">
        <v>8369.4014983884608</v>
      </c>
      <c r="L12" s="7">
        <v>4.4005560148863498</v>
      </c>
    </row>
    <row r="13" spans="1:12" x14ac:dyDescent="0.3">
      <c r="A13" s="11">
        <v>2001</v>
      </c>
      <c r="B13" s="14" t="s">
        <v>99</v>
      </c>
      <c r="C13" s="14" t="s">
        <v>100</v>
      </c>
      <c r="D13" s="7">
        <v>24150.687703391501</v>
      </c>
      <c r="E13" s="7"/>
      <c r="F13" s="7">
        <v>0.17064835289548899</v>
      </c>
      <c r="G13" s="7">
        <v>9.4401216495376694E-3</v>
      </c>
      <c r="H13" s="7"/>
      <c r="I13" s="7">
        <v>4.1212750778771001</v>
      </c>
      <c r="J13" s="7">
        <v>0.227985429840009</v>
      </c>
      <c r="K13" s="7">
        <v>8447.3613003401697</v>
      </c>
      <c r="L13" s="7">
        <v>2.8589623250066198</v>
      </c>
    </row>
    <row r="14" spans="1:12" x14ac:dyDescent="0.3">
      <c r="A14" s="11">
        <v>2002</v>
      </c>
      <c r="B14" s="14" t="s">
        <v>99</v>
      </c>
      <c r="C14" s="14" t="s">
        <v>100</v>
      </c>
      <c r="D14" s="7">
        <v>12786.8486876648</v>
      </c>
      <c r="E14" s="7"/>
      <c r="F14" s="7">
        <v>0.180318074601866</v>
      </c>
      <c r="G14" s="7">
        <v>9.9750424247840898E-3</v>
      </c>
      <c r="H14" s="7"/>
      <c r="I14" s="7">
        <v>2.30569993558513</v>
      </c>
      <c r="J14" s="7">
        <v>0.12754935813875201</v>
      </c>
      <c r="K14" s="7">
        <v>8525.3211022918804</v>
      </c>
      <c r="L14" s="7">
        <v>1.49986710579468</v>
      </c>
    </row>
    <row r="15" spans="1:12" x14ac:dyDescent="0.3">
      <c r="A15" s="11">
        <v>2003</v>
      </c>
      <c r="B15" s="14" t="s">
        <v>99</v>
      </c>
      <c r="C15" s="14" t="s">
        <v>100</v>
      </c>
      <c r="D15" s="7">
        <v>27868.221415237102</v>
      </c>
      <c r="E15" s="7"/>
      <c r="F15" s="7">
        <v>0.181727018970475</v>
      </c>
      <c r="G15" s="7">
        <v>1.0052984028153999E-2</v>
      </c>
      <c r="H15" s="7"/>
      <c r="I15" s="7">
        <v>5.0644088018002096</v>
      </c>
      <c r="J15" s="7">
        <v>0.28015878478043699</v>
      </c>
      <c r="K15" s="7">
        <v>8603.2809042435802</v>
      </c>
      <c r="L15" s="7">
        <v>3.2392550848236401</v>
      </c>
    </row>
    <row r="16" spans="1:12" x14ac:dyDescent="0.3">
      <c r="A16" s="11">
        <v>2004</v>
      </c>
      <c r="B16" s="14" t="s">
        <v>99</v>
      </c>
      <c r="C16" s="14" t="s">
        <v>100</v>
      </c>
      <c r="D16" s="7">
        <v>13196.675473183001</v>
      </c>
      <c r="E16" s="7"/>
      <c r="F16" s="7">
        <v>0.16942040303885</v>
      </c>
      <c r="G16" s="7">
        <v>9.3721925085320998E-3</v>
      </c>
      <c r="H16" s="7"/>
      <c r="I16" s="7">
        <v>2.2357860774395699</v>
      </c>
      <c r="J16" s="7">
        <v>0.123681783007295</v>
      </c>
      <c r="K16" s="7">
        <v>8681.2407061952908</v>
      </c>
      <c r="L16" s="7">
        <v>1.5201370310772899</v>
      </c>
    </row>
    <row r="17" spans="1:12" x14ac:dyDescent="0.3">
      <c r="A17" s="11">
        <v>2005</v>
      </c>
      <c r="B17" s="14" t="s">
        <v>99</v>
      </c>
      <c r="C17" s="14" t="s">
        <v>100</v>
      </c>
      <c r="D17" s="7">
        <v>13578.674514005501</v>
      </c>
      <c r="E17" s="7"/>
      <c r="F17" s="7">
        <v>0.18500198315973401</v>
      </c>
      <c r="G17" s="7">
        <v>1.02341522599002E-2</v>
      </c>
      <c r="H17" s="7"/>
      <c r="I17" s="7">
        <v>2.5120817137715501</v>
      </c>
      <c r="J17" s="7">
        <v>0.13896622246395801</v>
      </c>
      <c r="K17" s="7">
        <v>8759.2005081469997</v>
      </c>
      <c r="L17" s="7">
        <v>1.55021848185526</v>
      </c>
    </row>
    <row r="18" spans="1:12" x14ac:dyDescent="0.3">
      <c r="A18" s="11">
        <v>2006</v>
      </c>
      <c r="B18" s="14" t="s">
        <v>99</v>
      </c>
      <c r="C18" s="14" t="s">
        <v>100</v>
      </c>
      <c r="D18" s="7">
        <v>10385.852081388</v>
      </c>
      <c r="E18" s="7"/>
      <c r="F18" s="7">
        <v>0.169678354211766</v>
      </c>
      <c r="G18" s="7">
        <v>9.3864621478849403E-3</v>
      </c>
      <c r="H18" s="7"/>
      <c r="I18" s="7">
        <v>1.76225428825677</v>
      </c>
      <c r="J18" s="7">
        <v>9.7486407435480593E-2</v>
      </c>
      <c r="K18" s="7">
        <v>8804.6389573322995</v>
      </c>
      <c r="L18" s="7">
        <v>1.1795886386390599</v>
      </c>
    </row>
    <row r="19" spans="1:12" x14ac:dyDescent="0.3">
      <c r="A19" s="11">
        <v>2007</v>
      </c>
      <c r="B19" s="14" t="s">
        <v>99</v>
      </c>
      <c r="C19" s="14" t="s">
        <v>100</v>
      </c>
      <c r="D19" s="7">
        <v>73744.788341037594</v>
      </c>
      <c r="E19" s="7"/>
      <c r="F19" s="7">
        <v>0.15494744048678799</v>
      </c>
      <c r="G19" s="7">
        <v>8.5715605375669794E-3</v>
      </c>
      <c r="H19" s="7"/>
      <c r="I19" s="7">
        <v>11.4265662026837</v>
      </c>
      <c r="J19" s="7">
        <v>0.63210791759526697</v>
      </c>
      <c r="K19" s="7">
        <v>8850.0774065175992</v>
      </c>
      <c r="L19" s="7">
        <v>8.3326715636101198</v>
      </c>
    </row>
    <row r="20" spans="1:12" x14ac:dyDescent="0.3">
      <c r="A20" s="11">
        <v>2008</v>
      </c>
      <c r="B20" s="14" t="s">
        <v>99</v>
      </c>
      <c r="C20" s="14" t="s">
        <v>100</v>
      </c>
      <c r="D20" s="7">
        <v>21179.508393085202</v>
      </c>
      <c r="E20" s="7"/>
      <c r="F20" s="7">
        <v>0.19213231582864501</v>
      </c>
      <c r="G20" s="7">
        <v>1.06285961947761E-2</v>
      </c>
      <c r="H20" s="7"/>
      <c r="I20" s="7">
        <v>4.0692679956756699</v>
      </c>
      <c r="J20" s="7">
        <v>0.22510844231397301</v>
      </c>
      <c r="K20" s="7">
        <v>8895.5158557029008</v>
      </c>
      <c r="L20" s="7">
        <v>2.3809196382362798</v>
      </c>
    </row>
    <row r="21" spans="1:12" x14ac:dyDescent="0.3">
      <c r="A21" s="11">
        <v>2009</v>
      </c>
      <c r="B21" s="14" t="s">
        <v>99</v>
      </c>
      <c r="C21" s="14" t="s">
        <v>100</v>
      </c>
      <c r="D21" s="7">
        <v>20091.157523317201</v>
      </c>
      <c r="E21" s="7"/>
      <c r="F21" s="7">
        <v>0.231224642923472</v>
      </c>
      <c r="G21" s="7">
        <v>1.27911504595963E-2</v>
      </c>
      <c r="H21" s="7"/>
      <c r="I21" s="7">
        <v>4.6455707242482402</v>
      </c>
      <c r="J21" s="7">
        <v>0.25698901878820002</v>
      </c>
      <c r="K21" s="7">
        <v>8940.9543048881897</v>
      </c>
      <c r="L21" s="7">
        <v>2.24709318918373</v>
      </c>
    </row>
    <row r="22" spans="1:12" x14ac:dyDescent="0.3">
      <c r="A22" s="11">
        <v>2010</v>
      </c>
      <c r="B22" s="14" t="s">
        <v>99</v>
      </c>
      <c r="C22" s="14" t="s">
        <v>100</v>
      </c>
      <c r="D22" s="7">
        <v>10884.3206477898</v>
      </c>
      <c r="E22" s="7"/>
      <c r="F22" s="7">
        <v>0.19624186252824999</v>
      </c>
      <c r="G22" s="7">
        <v>1.08559328207117E-2</v>
      </c>
      <c r="H22" s="7"/>
      <c r="I22" s="7">
        <v>2.1359593562769499</v>
      </c>
      <c r="J22" s="7">
        <v>0.11815945375149101</v>
      </c>
      <c r="K22" s="7">
        <v>8986.3927540734894</v>
      </c>
      <c r="L22" s="7">
        <v>1.21120019407743</v>
      </c>
    </row>
    <row r="23" spans="1:12" x14ac:dyDescent="0.3">
      <c r="A23" s="11">
        <v>2011</v>
      </c>
      <c r="B23" s="14" t="s">
        <v>99</v>
      </c>
      <c r="C23" s="14" t="s">
        <v>100</v>
      </c>
      <c r="D23" s="7">
        <v>22299.711755756201</v>
      </c>
      <c r="E23" s="7"/>
      <c r="F23" s="7">
        <v>0.185464096122432</v>
      </c>
      <c r="G23" s="7">
        <v>1.0259715955709001E-2</v>
      </c>
      <c r="H23" s="7"/>
      <c r="I23" s="7">
        <v>4.1357958845721097</v>
      </c>
      <c r="J23" s="7">
        <v>0.22878870850824401</v>
      </c>
      <c r="K23" s="7">
        <v>9031.8312032588001</v>
      </c>
      <c r="L23" s="7">
        <v>2.4690133433528101</v>
      </c>
    </row>
    <row r="24" spans="1:12" x14ac:dyDescent="0.3">
      <c r="A24" s="11">
        <v>2012</v>
      </c>
      <c r="B24" s="14" t="s">
        <v>99</v>
      </c>
      <c r="C24" s="14" t="s">
        <v>100</v>
      </c>
      <c r="D24" s="7">
        <v>50174.828910594202</v>
      </c>
      <c r="E24" s="7"/>
      <c r="F24" s="7">
        <v>0.22941266072107599</v>
      </c>
      <c r="G24" s="7">
        <v>1.26909131462723E-2</v>
      </c>
      <c r="H24" s="7"/>
      <c r="I24" s="7">
        <v>11.510741001604201</v>
      </c>
      <c r="J24" s="7">
        <v>0.63676439583342304</v>
      </c>
      <c r="K24" s="7">
        <v>9077.2696524440998</v>
      </c>
      <c r="L24" s="7">
        <v>5.5275243362506501</v>
      </c>
    </row>
    <row r="25" spans="1:12" x14ac:dyDescent="0.3">
      <c r="A25" s="11">
        <v>2013</v>
      </c>
      <c r="B25" s="14" t="s">
        <v>99</v>
      </c>
      <c r="C25" s="14" t="s">
        <v>100</v>
      </c>
      <c r="D25" s="7">
        <v>8038.39987684687</v>
      </c>
      <c r="E25" s="7"/>
      <c r="F25" s="7">
        <v>0.202280706989099</v>
      </c>
      <c r="G25" s="7">
        <v>1.1189996556843799E-2</v>
      </c>
      <c r="H25" s="7"/>
      <c r="I25" s="7">
        <v>1.62601321014968</v>
      </c>
      <c r="J25" s="7">
        <v>8.9949666944450099E-2</v>
      </c>
      <c r="K25" s="7">
        <v>9122.7081016293996</v>
      </c>
      <c r="L25" s="7">
        <v>0.88114184815484098</v>
      </c>
    </row>
    <row r="26" spans="1:12" x14ac:dyDescent="0.3">
      <c r="A26" s="11">
        <v>2014</v>
      </c>
      <c r="B26" s="14" t="s">
        <v>99</v>
      </c>
      <c r="C26" s="14" t="s">
        <v>100</v>
      </c>
      <c r="D26" s="7">
        <v>9801.7432667502599</v>
      </c>
      <c r="E26" s="7"/>
      <c r="F26" s="7">
        <v>0.216936011256218</v>
      </c>
      <c r="G26" s="7">
        <v>1.20007155163014E-2</v>
      </c>
      <c r="H26" s="7"/>
      <c r="I26" s="7">
        <v>2.1263510876463001</v>
      </c>
      <c r="J26" s="7">
        <v>0.117627932508093</v>
      </c>
      <c r="K26" s="7">
        <v>9168.1465508146994</v>
      </c>
      <c r="L26" s="7">
        <v>1.06910848473286</v>
      </c>
    </row>
    <row r="27" spans="1:12" x14ac:dyDescent="0.3">
      <c r="A27" s="11">
        <v>2015</v>
      </c>
      <c r="B27" s="14" t="s">
        <v>99</v>
      </c>
      <c r="C27" s="14" t="s">
        <v>100</v>
      </c>
      <c r="D27" s="7">
        <v>15166.5216992349</v>
      </c>
      <c r="E27" s="7"/>
      <c r="F27" s="7">
        <v>0.193719550876429</v>
      </c>
      <c r="G27" s="7">
        <v>1.0716400686781201E-2</v>
      </c>
      <c r="H27" s="7"/>
      <c r="I27" s="7">
        <v>2.9380517719334001</v>
      </c>
      <c r="J27" s="7">
        <v>0.16253052355376199</v>
      </c>
      <c r="K27" s="7">
        <v>9213.5849999999991</v>
      </c>
      <c r="L27" s="7">
        <v>1.64610427963001</v>
      </c>
    </row>
    <row r="28" spans="1:12" x14ac:dyDescent="0.3">
      <c r="A28" s="11">
        <v>2016</v>
      </c>
      <c r="B28" s="14" t="s">
        <v>99</v>
      </c>
      <c r="C28" s="14" t="s">
        <v>100</v>
      </c>
      <c r="D28" s="7">
        <v>17804.879475864102</v>
      </c>
      <c r="E28" s="7"/>
      <c r="F28" s="7">
        <v>0.196901750288347</v>
      </c>
      <c r="G28" s="7">
        <v>1.08924372499936E-2</v>
      </c>
      <c r="H28" s="7"/>
      <c r="I28" s="7">
        <v>3.5058119324706798</v>
      </c>
      <c r="J28" s="7">
        <v>0.19393853243454801</v>
      </c>
      <c r="K28" s="7">
        <v>9398.3980826085899</v>
      </c>
      <c r="L28" s="7">
        <v>1.8944589619811301</v>
      </c>
    </row>
    <row r="29" spans="1:12" x14ac:dyDescent="0.3">
      <c r="A29" s="11">
        <v>2017</v>
      </c>
      <c r="B29" s="14" t="s">
        <v>99</v>
      </c>
      <c r="C29" s="14" t="s">
        <v>100</v>
      </c>
      <c r="D29" s="7">
        <v>84728.599378245897</v>
      </c>
      <c r="E29" s="7"/>
      <c r="F29" s="7">
        <v>0.246195571727087</v>
      </c>
      <c r="G29" s="7">
        <v>1.3619329499796299E-2</v>
      </c>
      <c r="H29" s="7"/>
      <c r="I29" s="7">
        <v>20.8598059655626</v>
      </c>
      <c r="J29" s="7">
        <v>1.1539467129885701</v>
      </c>
      <c r="K29" s="7">
        <v>9583.2111652171807</v>
      </c>
      <c r="L29" s="7">
        <v>8.8413578619422708</v>
      </c>
    </row>
    <row r="30" spans="1:12" x14ac:dyDescent="0.3">
      <c r="A30" s="11">
        <v>2018</v>
      </c>
      <c r="B30" s="14" t="s">
        <v>99</v>
      </c>
      <c r="C30" s="14" t="s">
        <v>100</v>
      </c>
      <c r="D30" s="7">
        <v>7183.1515491478203</v>
      </c>
      <c r="E30" s="7"/>
      <c r="F30" s="7">
        <v>0.34875973579005498</v>
      </c>
      <c r="G30" s="7">
        <v>1.9293091767109399E-2</v>
      </c>
      <c r="H30" s="7"/>
      <c r="I30" s="7">
        <v>2.5051940364207201</v>
      </c>
      <c r="J30" s="7">
        <v>0.13858520201476399</v>
      </c>
      <c r="K30" s="7">
        <v>9768.0242478257696</v>
      </c>
      <c r="L30" s="7">
        <v>0.73537404974672305</v>
      </c>
    </row>
    <row r="31" spans="1:12" x14ac:dyDescent="0.3">
      <c r="A31" s="11">
        <v>2019</v>
      </c>
      <c r="B31" s="14" t="s">
        <v>99</v>
      </c>
      <c r="C31" s="14" t="s">
        <v>100</v>
      </c>
      <c r="D31" s="7">
        <v>11381.366262104601</v>
      </c>
      <c r="E31" s="7"/>
      <c r="F31" s="7">
        <v>0.19395892796803399</v>
      </c>
      <c r="G31" s="7">
        <v>1.07296428237636E-2</v>
      </c>
      <c r="H31" s="7"/>
      <c r="I31" s="7">
        <v>2.2075175990093698</v>
      </c>
      <c r="J31" s="7">
        <v>0.122117994838816</v>
      </c>
      <c r="K31" s="7">
        <v>9952.8373304343495</v>
      </c>
      <c r="L31" s="7">
        <v>1.1435298181054401</v>
      </c>
    </row>
    <row r="32" spans="1:12" x14ac:dyDescent="0.3">
      <c r="A32" s="11">
        <v>2020</v>
      </c>
      <c r="B32" s="14" t="s">
        <v>99</v>
      </c>
      <c r="C32" s="14" t="s">
        <v>100</v>
      </c>
      <c r="D32" s="7">
        <v>19051.8443565089</v>
      </c>
      <c r="E32" s="7"/>
      <c r="F32" s="7">
        <v>0.22561763702564999</v>
      </c>
      <c r="G32" s="7">
        <v>1.24809756652487E-2</v>
      </c>
      <c r="H32" s="7"/>
      <c r="I32" s="7">
        <v>4.2984321046960199</v>
      </c>
      <c r="J32" s="7">
        <v>0.237785605791695</v>
      </c>
      <c r="K32" s="7">
        <v>10137.6504130429</v>
      </c>
      <c r="L32" s="7">
        <v>1.8793155790810401</v>
      </c>
    </row>
    <row r="33" spans="1:12" x14ac:dyDescent="0.3">
      <c r="A33" s="11">
        <v>2021</v>
      </c>
      <c r="B33" s="14" t="s">
        <v>99</v>
      </c>
      <c r="C33" s="14" t="s">
        <v>100</v>
      </c>
      <c r="D33" s="7">
        <v>44213.0496041148</v>
      </c>
      <c r="E33" s="7"/>
      <c r="F33" s="7">
        <v>0.25964469001923102</v>
      </c>
      <c r="G33" s="7">
        <v>1.4363323277659599E-2</v>
      </c>
      <c r="H33" s="7"/>
      <c r="I33" s="7">
        <v>11.4796835592653</v>
      </c>
      <c r="J33" s="7">
        <v>0.63504632455510202</v>
      </c>
      <c r="K33" s="7">
        <v>10374.433608695301</v>
      </c>
      <c r="L33" s="7">
        <v>4.2617314131788104</v>
      </c>
    </row>
    <row r="34" spans="1:12" x14ac:dyDescent="0.3">
      <c r="A34" s="11">
        <v>2022</v>
      </c>
      <c r="B34" s="14" t="s">
        <v>99</v>
      </c>
      <c r="C34" s="14" t="s">
        <v>100</v>
      </c>
      <c r="D34" s="7">
        <v>34314.508673554497</v>
      </c>
      <c r="E34" s="7"/>
      <c r="F34" s="7">
        <v>0.22238945672886401</v>
      </c>
      <c r="G34" s="7">
        <v>1.2302395478618E-2</v>
      </c>
      <c r="H34" s="7"/>
      <c r="I34" s="7">
        <v>7.6311849418296704</v>
      </c>
      <c r="J34" s="7">
        <v>0.42215065635653498</v>
      </c>
      <c r="K34" s="7">
        <v>10611.2168043477</v>
      </c>
      <c r="L34" s="7">
        <v>3.23379583192522</v>
      </c>
    </row>
    <row r="35" spans="1:12" x14ac:dyDescent="0.3">
      <c r="A35" s="11">
        <v>2023</v>
      </c>
      <c r="B35" s="14" t="s">
        <v>99</v>
      </c>
      <c r="C35" s="14" t="s">
        <v>100</v>
      </c>
      <c r="D35" s="7">
        <v>23748.194412077501</v>
      </c>
      <c r="E35" s="7"/>
      <c r="F35" s="7">
        <v>0.248428212761822</v>
      </c>
      <c r="G35" s="7">
        <v>1.3742837301717801E-2</v>
      </c>
      <c r="H35" s="7"/>
      <c r="I35" s="7">
        <v>5.8997214941127103</v>
      </c>
      <c r="J35" s="7">
        <v>0.32636757201474598</v>
      </c>
      <c r="K35" s="7">
        <v>10848</v>
      </c>
      <c r="L35" s="7">
        <v>2.1891772135027199</v>
      </c>
    </row>
    <row r="36" spans="1:12" x14ac:dyDescent="0.3">
      <c r="A36" s="12">
        <v>2024</v>
      </c>
      <c r="B36" s="5" t="s">
        <v>99</v>
      </c>
      <c r="C36" s="5" t="s">
        <v>100</v>
      </c>
      <c r="D36" s="8">
        <v>13415.968961951899</v>
      </c>
      <c r="E36" s="8"/>
      <c r="F36" s="8">
        <v>0.235126556278867</v>
      </c>
      <c r="G36" s="8">
        <v>1.3007000985639399E-2</v>
      </c>
      <c r="H36" s="8"/>
      <c r="I36" s="8">
        <v>3.1544505811679202</v>
      </c>
      <c r="J36" s="8">
        <v>0.17450152151141801</v>
      </c>
      <c r="K36" s="8">
        <v>11084.783195652401</v>
      </c>
      <c r="L36" s="8">
        <v>1.2103050393636801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.77734375" customWidth="1"/>
    <col min="2" max="2" width="11.77734375" customWidth="1"/>
    <col min="3" max="3" width="4.109375" customWidth="1"/>
    <col min="4" max="4" width="8.77734375" customWidth="1"/>
    <col min="5" max="7" width="11.77734375" customWidth="1"/>
    <col min="8" max="8" width="10.77734375" customWidth="1"/>
    <col min="9" max="10" width="8.77734375" customWidth="1"/>
    <col min="11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99</v>
      </c>
      <c r="C2" s="13" t="s">
        <v>100</v>
      </c>
      <c r="D2" s="6">
        <v>258</v>
      </c>
      <c r="E2" s="6">
        <v>91.493093023255796</v>
      </c>
      <c r="F2" s="6">
        <v>0.36006976744185998</v>
      </c>
      <c r="G2" s="6">
        <v>3.5426356589147302E-3</v>
      </c>
      <c r="H2" s="6">
        <v>23.605218000000001</v>
      </c>
      <c r="I2" s="6">
        <v>9.2897999999999994E-2</v>
      </c>
      <c r="J2" s="6">
        <v>9.1399999999999999E-4</v>
      </c>
      <c r="K2" s="6">
        <v>3163.68</v>
      </c>
      <c r="L2" s="6">
        <v>8.15505993020786E-2</v>
      </c>
    </row>
    <row r="3" spans="1:12" x14ac:dyDescent="0.3">
      <c r="A3" s="11">
        <v>1991</v>
      </c>
      <c r="B3" s="14" t="s">
        <v>99</v>
      </c>
      <c r="C3" s="14" t="s">
        <v>100</v>
      </c>
      <c r="D3" s="7">
        <v>69</v>
      </c>
      <c r="E3" s="7">
        <v>93.613217391304303</v>
      </c>
      <c r="F3" s="7">
        <v>0.36842028985507203</v>
      </c>
      <c r="G3" s="7">
        <v>3.6231884057971002E-3</v>
      </c>
      <c r="H3" s="7">
        <v>6.4593119999999997</v>
      </c>
      <c r="I3" s="7">
        <v>2.5420999999999999E-2</v>
      </c>
      <c r="J3" s="7">
        <v>2.5000000000000001E-4</v>
      </c>
      <c r="K3" s="7">
        <v>3168.1779080000001</v>
      </c>
      <c r="L3" s="7">
        <v>2.1779079964470201E-2</v>
      </c>
    </row>
    <row r="4" spans="1:12" x14ac:dyDescent="0.3">
      <c r="A4" s="11">
        <v>1992</v>
      </c>
      <c r="B4" s="14" t="s">
        <v>99</v>
      </c>
      <c r="C4" s="14" t="s">
        <v>100</v>
      </c>
      <c r="D4" s="7">
        <v>8412</v>
      </c>
      <c r="E4" s="7">
        <v>95.832414645744194</v>
      </c>
      <c r="F4" s="7">
        <v>0.37714693295292401</v>
      </c>
      <c r="G4" s="7">
        <v>3.70970042796006E-3</v>
      </c>
      <c r="H4" s="7">
        <v>806.14227200000005</v>
      </c>
      <c r="I4" s="7">
        <v>3.1725599999999998</v>
      </c>
      <c r="J4" s="7">
        <v>3.1206000000000001E-2</v>
      </c>
      <c r="K4" s="7">
        <v>3172.4679080000001</v>
      </c>
      <c r="L4" s="7">
        <v>2.6515634653978699</v>
      </c>
    </row>
    <row r="5" spans="1:12" x14ac:dyDescent="0.3">
      <c r="A5" s="11">
        <v>1993</v>
      </c>
      <c r="B5" s="14" t="s">
        <v>99</v>
      </c>
      <c r="C5" s="14" t="s">
        <v>100</v>
      </c>
      <c r="D5" s="7">
        <v>570</v>
      </c>
      <c r="E5" s="7">
        <v>98.167898245613998</v>
      </c>
      <c r="F5" s="7">
        <v>0.38633859649122798</v>
      </c>
      <c r="G5" s="7">
        <v>3.8E-3</v>
      </c>
      <c r="H5" s="7">
        <v>55.955702000000002</v>
      </c>
      <c r="I5" s="7">
        <v>0.22021299999999999</v>
      </c>
      <c r="J5" s="7">
        <v>2.166E-3</v>
      </c>
      <c r="K5" s="7">
        <v>3176.757908</v>
      </c>
      <c r="L5" s="7">
        <v>0.179428214710531</v>
      </c>
    </row>
    <row r="6" spans="1:12" x14ac:dyDescent="0.3">
      <c r="A6" s="11">
        <v>1994</v>
      </c>
      <c r="B6" s="14" t="s">
        <v>99</v>
      </c>
      <c r="C6" s="14" t="s">
        <v>100</v>
      </c>
      <c r="D6" s="7">
        <v>26</v>
      </c>
      <c r="E6" s="7">
        <v>100.219807692308</v>
      </c>
      <c r="F6" s="7">
        <v>0.39442307692307699</v>
      </c>
      <c r="G6" s="7">
        <v>3.88461538461538E-3</v>
      </c>
      <c r="H6" s="7">
        <v>2.605715</v>
      </c>
      <c r="I6" s="7">
        <v>1.0255E-2</v>
      </c>
      <c r="J6" s="7">
        <v>1.01E-4</v>
      </c>
      <c r="K6" s="7">
        <v>3181.047908</v>
      </c>
      <c r="L6" s="7">
        <v>8.1734072393605701E-3</v>
      </c>
    </row>
    <row r="7" spans="1:12" x14ac:dyDescent="0.3">
      <c r="A7" s="11">
        <v>1995</v>
      </c>
      <c r="B7" s="14" t="s">
        <v>99</v>
      </c>
      <c r="C7" s="14" t="s">
        <v>100</v>
      </c>
      <c r="D7" s="7">
        <v>535</v>
      </c>
      <c r="E7" s="7">
        <v>102.741020560748</v>
      </c>
      <c r="F7" s="7">
        <v>0.404336448598131</v>
      </c>
      <c r="G7" s="7">
        <v>3.9775700934579399E-3</v>
      </c>
      <c r="H7" s="7">
        <v>54.966445999999998</v>
      </c>
      <c r="I7" s="7">
        <v>0.21632000000000001</v>
      </c>
      <c r="J7" s="7">
        <v>2.1280000000000001E-3</v>
      </c>
      <c r="K7" s="7">
        <v>3185.337908</v>
      </c>
      <c r="L7" s="7">
        <v>0.16795706309724401</v>
      </c>
    </row>
    <row r="8" spans="1:12" x14ac:dyDescent="0.3">
      <c r="A8" s="11">
        <v>1996</v>
      </c>
      <c r="B8" s="14" t="s">
        <v>99</v>
      </c>
      <c r="C8" s="14" t="s">
        <v>100</v>
      </c>
      <c r="D8" s="7">
        <v>927</v>
      </c>
      <c r="E8" s="7">
        <v>105.041483279396</v>
      </c>
      <c r="F8" s="7">
        <v>0.41338942826321501</v>
      </c>
      <c r="G8" s="7">
        <v>4.0658036677454204E-3</v>
      </c>
      <c r="H8" s="7">
        <v>97.373455000000007</v>
      </c>
      <c r="I8" s="7">
        <v>0.383212</v>
      </c>
      <c r="J8" s="7">
        <v>3.7690000000000002E-3</v>
      </c>
      <c r="K8" s="7">
        <v>3193.9679080000001</v>
      </c>
      <c r="L8" s="7">
        <v>0.29023460056631201</v>
      </c>
    </row>
    <row r="9" spans="1:12" x14ac:dyDescent="0.3">
      <c r="A9" s="11">
        <v>1997</v>
      </c>
      <c r="B9" s="14" t="s">
        <v>99</v>
      </c>
      <c r="C9" s="14" t="s">
        <v>100</v>
      </c>
      <c r="D9" s="7">
        <v>448</v>
      </c>
      <c r="E9" s="7">
        <v>107.482613839286</v>
      </c>
      <c r="F9" s="7">
        <v>0.422995535714286</v>
      </c>
      <c r="G9" s="7">
        <v>4.1607142857142902E-3</v>
      </c>
      <c r="H9" s="7">
        <v>48.152211000000001</v>
      </c>
      <c r="I9" s="7">
        <v>0.189502</v>
      </c>
      <c r="J9" s="7">
        <v>1.864E-3</v>
      </c>
      <c r="K9" s="7">
        <v>3202.5979080000002</v>
      </c>
      <c r="L9" s="7">
        <v>0.13988643372335599</v>
      </c>
    </row>
    <row r="10" spans="1:12" x14ac:dyDescent="0.3">
      <c r="A10" s="11">
        <v>1998</v>
      </c>
      <c r="B10" s="14" t="s">
        <v>99</v>
      </c>
      <c r="C10" s="14" t="s">
        <v>100</v>
      </c>
      <c r="D10" s="7">
        <v>211</v>
      </c>
      <c r="E10" s="7">
        <v>109.55963507109</v>
      </c>
      <c r="F10" s="7">
        <v>0.43117061611374402</v>
      </c>
      <c r="G10" s="7">
        <v>4.2417061611374398E-3</v>
      </c>
      <c r="H10" s="7">
        <v>23.117083000000001</v>
      </c>
      <c r="I10" s="7">
        <v>9.0977000000000002E-2</v>
      </c>
      <c r="J10" s="7">
        <v>8.9499999999999996E-4</v>
      </c>
      <c r="K10" s="7">
        <v>3211.2279079999998</v>
      </c>
      <c r="L10" s="7">
        <v>6.5706952619072695E-2</v>
      </c>
    </row>
    <row r="11" spans="1:12" x14ac:dyDescent="0.3">
      <c r="A11" s="11">
        <v>1999</v>
      </c>
      <c r="B11" s="14" t="s">
        <v>99</v>
      </c>
      <c r="C11" s="14" t="s">
        <v>100</v>
      </c>
      <c r="D11" s="7">
        <v>1544</v>
      </c>
      <c r="E11" s="7">
        <v>111.75585492227999</v>
      </c>
      <c r="F11" s="7">
        <v>0.43981347150259098</v>
      </c>
      <c r="G11" s="7">
        <v>4.3257772020725404E-3</v>
      </c>
      <c r="H11" s="7">
        <v>172.55104</v>
      </c>
      <c r="I11" s="7">
        <v>0.67907200000000001</v>
      </c>
      <c r="J11" s="7">
        <v>6.679E-3</v>
      </c>
      <c r="K11" s="7">
        <v>3219.857908</v>
      </c>
      <c r="L11" s="7">
        <v>0.47952426601304499</v>
      </c>
    </row>
    <row r="12" spans="1:12" x14ac:dyDescent="0.3">
      <c r="A12" s="11">
        <v>2000</v>
      </c>
      <c r="B12" s="14" t="s">
        <v>99</v>
      </c>
      <c r="C12" s="14" t="s">
        <v>100</v>
      </c>
      <c r="D12" s="7">
        <v>1316</v>
      </c>
      <c r="E12" s="7">
        <v>113.02785258358701</v>
      </c>
      <c r="F12" s="7">
        <v>0.44481914893616997</v>
      </c>
      <c r="G12" s="7">
        <v>4.3753799392097304E-3</v>
      </c>
      <c r="H12" s="7">
        <v>148.744654</v>
      </c>
      <c r="I12" s="7">
        <v>0.58538199999999996</v>
      </c>
      <c r="J12" s="7">
        <v>5.7580000000000001E-3</v>
      </c>
      <c r="K12" s="7">
        <v>3228.4879080000001</v>
      </c>
      <c r="L12" s="7">
        <v>0.407621164303893</v>
      </c>
    </row>
    <row r="13" spans="1:12" x14ac:dyDescent="0.3">
      <c r="A13" s="11">
        <v>2001</v>
      </c>
      <c r="B13" s="14" t="s">
        <v>99</v>
      </c>
      <c r="C13" s="14" t="s">
        <v>100</v>
      </c>
      <c r="D13" s="7">
        <v>270</v>
      </c>
      <c r="E13" s="7">
        <v>114.90480740740701</v>
      </c>
      <c r="F13" s="7">
        <v>0.452207407407407</v>
      </c>
      <c r="G13" s="7">
        <v>4.4481481481481499E-3</v>
      </c>
      <c r="H13" s="7">
        <v>31.024298000000002</v>
      </c>
      <c r="I13" s="7">
        <v>0.122096</v>
      </c>
      <c r="J13" s="7">
        <v>1.201E-3</v>
      </c>
      <c r="K13" s="7">
        <v>3228.57</v>
      </c>
      <c r="L13" s="7">
        <v>8.3628355587768002E-2</v>
      </c>
    </row>
    <row r="14" spans="1:12" x14ac:dyDescent="0.3">
      <c r="A14" s="11">
        <v>2002</v>
      </c>
      <c r="B14" s="14" t="s">
        <v>99</v>
      </c>
      <c r="C14" s="14" t="s">
        <v>100</v>
      </c>
      <c r="D14" s="7">
        <v>2364</v>
      </c>
      <c r="E14" s="7">
        <v>116.930302453469</v>
      </c>
      <c r="F14" s="7">
        <v>0.46017724196277499</v>
      </c>
      <c r="G14" s="7">
        <v>4.5262267343485598E-3</v>
      </c>
      <c r="H14" s="7">
        <v>276.42323499999998</v>
      </c>
      <c r="I14" s="7">
        <v>1.0878589999999999</v>
      </c>
      <c r="J14" s="7">
        <v>1.0699999999999999E-2</v>
      </c>
      <c r="K14" s="7">
        <v>3228.86</v>
      </c>
      <c r="L14" s="7">
        <v>0.73214694969741601</v>
      </c>
    </row>
    <row r="15" spans="1:12" x14ac:dyDescent="0.3">
      <c r="A15" s="11">
        <v>2003</v>
      </c>
      <c r="B15" s="14" t="s">
        <v>99</v>
      </c>
      <c r="C15" s="14" t="s">
        <v>100</v>
      </c>
      <c r="D15" s="7">
        <v>648</v>
      </c>
      <c r="E15" s="7">
        <v>118.795314814815</v>
      </c>
      <c r="F15" s="7">
        <v>0.467516975308642</v>
      </c>
      <c r="G15" s="7">
        <v>4.5987654320987703E-3</v>
      </c>
      <c r="H15" s="7">
        <v>76.979364000000004</v>
      </c>
      <c r="I15" s="7">
        <v>0.30295100000000003</v>
      </c>
      <c r="J15" s="7">
        <v>2.98E-3</v>
      </c>
      <c r="K15" s="7">
        <v>3229.15</v>
      </c>
      <c r="L15" s="7">
        <v>0.200672003468405</v>
      </c>
    </row>
    <row r="16" spans="1:12" x14ac:dyDescent="0.3">
      <c r="A16" s="11">
        <v>2004</v>
      </c>
      <c r="B16" s="14" t="s">
        <v>99</v>
      </c>
      <c r="C16" s="14" t="s">
        <v>100</v>
      </c>
      <c r="D16" s="7">
        <v>485</v>
      </c>
      <c r="E16" s="7">
        <v>120.475358762887</v>
      </c>
      <c r="F16" s="7">
        <v>0.47412783505154599</v>
      </c>
      <c r="G16" s="7">
        <v>4.6639175257732002E-3</v>
      </c>
      <c r="H16" s="7">
        <v>58.430548999999999</v>
      </c>
      <c r="I16" s="7">
        <v>0.22995199999999999</v>
      </c>
      <c r="J16" s="7">
        <v>2.2620000000000001E-3</v>
      </c>
      <c r="K16" s="7">
        <v>3229.44</v>
      </c>
      <c r="L16" s="7">
        <v>0.150180836305985</v>
      </c>
    </row>
    <row r="17" spans="1:12" x14ac:dyDescent="0.3">
      <c r="A17" s="11">
        <v>2005</v>
      </c>
      <c r="B17" s="14" t="s">
        <v>99</v>
      </c>
      <c r="C17" s="14" t="s">
        <v>100</v>
      </c>
      <c r="D17" s="7">
        <v>120</v>
      </c>
      <c r="E17" s="7">
        <v>121.89122500000001</v>
      </c>
      <c r="F17" s="7">
        <v>0.47970000000000002</v>
      </c>
      <c r="G17" s="7">
        <v>4.7166666666666702E-3</v>
      </c>
      <c r="H17" s="7">
        <v>14.626946999999999</v>
      </c>
      <c r="I17" s="7">
        <v>5.7563999999999997E-2</v>
      </c>
      <c r="J17" s="7">
        <v>5.6599999999999999E-4</v>
      </c>
      <c r="K17" s="7">
        <v>3229.73</v>
      </c>
      <c r="L17" s="7">
        <v>3.7154808606292201E-2</v>
      </c>
    </row>
    <row r="18" spans="1:12" x14ac:dyDescent="0.3">
      <c r="A18" s="11">
        <v>2006</v>
      </c>
      <c r="B18" s="14" t="s">
        <v>99</v>
      </c>
      <c r="C18" s="14" t="s">
        <v>100</v>
      </c>
      <c r="D18" s="7">
        <v>3368</v>
      </c>
      <c r="E18" s="7">
        <v>123.084829869359</v>
      </c>
      <c r="F18" s="7">
        <v>0.48439845605700699</v>
      </c>
      <c r="G18" s="7">
        <v>4.7645486935866998E-3</v>
      </c>
      <c r="H18" s="7">
        <v>414.54970700000001</v>
      </c>
      <c r="I18" s="7">
        <v>1.631454</v>
      </c>
      <c r="J18" s="7">
        <v>1.6046999999999999E-2</v>
      </c>
      <c r="K18" s="7">
        <v>3230.02</v>
      </c>
      <c r="L18" s="7">
        <v>1.0427180017461199</v>
      </c>
    </row>
    <row r="19" spans="1:12" x14ac:dyDescent="0.3">
      <c r="A19" s="11">
        <v>2007</v>
      </c>
      <c r="B19" s="14" t="s">
        <v>99</v>
      </c>
      <c r="C19" s="14" t="s">
        <v>100</v>
      </c>
      <c r="D19" s="7">
        <v>271</v>
      </c>
      <c r="E19" s="7">
        <v>124.48980073800701</v>
      </c>
      <c r="F19" s="7">
        <v>0.48992619926199299</v>
      </c>
      <c r="G19" s="7">
        <v>4.8191881918819204E-3</v>
      </c>
      <c r="H19" s="7">
        <v>33.736736000000001</v>
      </c>
      <c r="I19" s="7">
        <v>0.13277</v>
      </c>
      <c r="J19" s="7">
        <v>1.3060000000000001E-3</v>
      </c>
      <c r="K19" s="7">
        <v>3230.31</v>
      </c>
      <c r="L19" s="7">
        <v>8.3892877154205001E-2</v>
      </c>
    </row>
    <row r="20" spans="1:12" x14ac:dyDescent="0.3">
      <c r="A20" s="11">
        <v>2008</v>
      </c>
      <c r="B20" s="14" t="s">
        <v>99</v>
      </c>
      <c r="C20" s="14" t="s">
        <v>100</v>
      </c>
      <c r="D20" s="7">
        <v>364</v>
      </c>
      <c r="E20" s="7">
        <v>126.025401098901</v>
      </c>
      <c r="F20" s="7">
        <v>0.49596978021978</v>
      </c>
      <c r="G20" s="7">
        <v>4.8791208791208801E-3</v>
      </c>
      <c r="H20" s="7">
        <v>45.873246000000002</v>
      </c>
      <c r="I20" s="7">
        <v>0.180533</v>
      </c>
      <c r="J20" s="7">
        <v>1.776E-3</v>
      </c>
      <c r="K20" s="7">
        <v>3230.6</v>
      </c>
      <c r="L20" s="7">
        <v>0.112672568563115</v>
      </c>
    </row>
    <row r="21" spans="1:12" x14ac:dyDescent="0.3">
      <c r="A21" s="11">
        <v>2009</v>
      </c>
      <c r="B21" s="14" t="s">
        <v>99</v>
      </c>
      <c r="C21" s="14" t="s">
        <v>100</v>
      </c>
      <c r="D21" s="7">
        <v>646</v>
      </c>
      <c r="E21" s="7">
        <v>125.983465944272</v>
      </c>
      <c r="F21" s="7">
        <v>0.495806501547988</v>
      </c>
      <c r="G21" s="7">
        <v>4.8761609907120697E-3</v>
      </c>
      <c r="H21" s="7">
        <v>81.385318999999996</v>
      </c>
      <c r="I21" s="7">
        <v>0.32029099999999999</v>
      </c>
      <c r="J21" s="7">
        <v>3.15E-3</v>
      </c>
      <c r="K21" s="7">
        <v>3230.0668059999998</v>
      </c>
      <c r="L21" s="7">
        <v>0.199995863491128</v>
      </c>
    </row>
    <row r="22" spans="1:12" x14ac:dyDescent="0.3">
      <c r="A22" s="11">
        <v>2010</v>
      </c>
      <c r="B22" s="14" t="s">
        <v>99</v>
      </c>
      <c r="C22" s="14" t="s">
        <v>100</v>
      </c>
      <c r="D22" s="7">
        <v>317</v>
      </c>
      <c r="E22" s="7">
        <v>125.85095268138799</v>
      </c>
      <c r="F22" s="7">
        <v>0.49528391167192398</v>
      </c>
      <c r="G22" s="7">
        <v>4.8706624605678204E-3</v>
      </c>
      <c r="H22" s="7">
        <v>39.894751999999997</v>
      </c>
      <c r="I22" s="7">
        <v>0.15700500000000001</v>
      </c>
      <c r="J22" s="7">
        <v>1.544E-3</v>
      </c>
      <c r="K22" s="7">
        <v>3228.3568059999998</v>
      </c>
      <c r="L22" s="7">
        <v>9.8192368145567394E-2</v>
      </c>
    </row>
    <row r="23" spans="1:12" x14ac:dyDescent="0.3">
      <c r="A23" s="11">
        <v>2011</v>
      </c>
      <c r="B23" s="14" t="s">
        <v>99</v>
      </c>
      <c r="C23" s="14" t="s">
        <v>100</v>
      </c>
      <c r="D23" s="7">
        <v>121.883</v>
      </c>
      <c r="E23" s="7">
        <v>126.14368697849601</v>
      </c>
      <c r="F23" s="7">
        <v>0.49643510579818401</v>
      </c>
      <c r="G23" s="7">
        <v>4.8817308402320297E-3</v>
      </c>
      <c r="H23" s="7">
        <v>15.374771000000001</v>
      </c>
      <c r="I23" s="7">
        <v>6.0506999999999998E-2</v>
      </c>
      <c r="J23" s="7">
        <v>5.9500000000000004E-4</v>
      </c>
      <c r="K23" s="7">
        <v>3226.6468060000002</v>
      </c>
      <c r="L23" s="7">
        <v>3.7773889529327101E-2</v>
      </c>
    </row>
    <row r="24" spans="1:12" x14ac:dyDescent="0.3">
      <c r="A24" s="11">
        <v>2012</v>
      </c>
      <c r="B24" s="14" t="s">
        <v>99</v>
      </c>
      <c r="C24" s="14" t="s">
        <v>100</v>
      </c>
      <c r="D24" s="7">
        <v>90.27</v>
      </c>
      <c r="E24" s="7">
        <v>126.533942616595</v>
      </c>
      <c r="F24" s="7">
        <v>0.49797274842140199</v>
      </c>
      <c r="G24" s="7">
        <v>4.8964218455743898E-3</v>
      </c>
      <c r="H24" s="7">
        <v>11.422219</v>
      </c>
      <c r="I24" s="7">
        <v>4.4951999999999999E-2</v>
      </c>
      <c r="J24" s="7">
        <v>4.4200000000000001E-4</v>
      </c>
      <c r="K24" s="7">
        <v>3224.9368060000002</v>
      </c>
      <c r="L24" s="7">
        <v>2.7991246163972101E-2</v>
      </c>
    </row>
    <row r="25" spans="1:12" x14ac:dyDescent="0.3">
      <c r="A25" s="11">
        <v>2013</v>
      </c>
      <c r="B25" s="14" t="s">
        <v>99</v>
      </c>
      <c r="C25" s="14" t="s">
        <v>100</v>
      </c>
      <c r="D25" s="7">
        <v>216.8</v>
      </c>
      <c r="E25" s="7">
        <v>126.917730627306</v>
      </c>
      <c r="F25" s="7">
        <v>0.49948339483394799</v>
      </c>
      <c r="G25" s="7">
        <v>4.9123616236162399E-3</v>
      </c>
      <c r="H25" s="7">
        <v>27.515764000000001</v>
      </c>
      <c r="I25" s="7">
        <v>0.108288</v>
      </c>
      <c r="J25" s="7">
        <v>1.065E-3</v>
      </c>
      <c r="K25" s="7">
        <v>3223.2268060000001</v>
      </c>
      <c r="L25" s="7">
        <v>6.7261788589133495E-2</v>
      </c>
    </row>
    <row r="26" spans="1:12" x14ac:dyDescent="0.3">
      <c r="A26" s="11">
        <v>2014</v>
      </c>
      <c r="B26" s="14" t="s">
        <v>99</v>
      </c>
      <c r="C26" s="14" t="s">
        <v>100</v>
      </c>
      <c r="D26" s="7">
        <v>645.74599999999998</v>
      </c>
      <c r="E26" s="7">
        <v>126.587517382996</v>
      </c>
      <c r="F26" s="7">
        <v>0.49818349629730602</v>
      </c>
      <c r="G26" s="7">
        <v>4.8997593481028097E-3</v>
      </c>
      <c r="H26" s="7">
        <v>81.743382999999994</v>
      </c>
      <c r="I26" s="7">
        <v>0.32169999999999999</v>
      </c>
      <c r="J26" s="7">
        <v>3.1640000000000001E-3</v>
      </c>
      <c r="K26" s="7">
        <v>3226.58</v>
      </c>
      <c r="L26" s="7">
        <v>0.20013326804232301</v>
      </c>
    </row>
    <row r="27" spans="1:12" x14ac:dyDescent="0.3">
      <c r="A27" s="11">
        <v>2015</v>
      </c>
      <c r="B27" s="14" t="s">
        <v>99</v>
      </c>
      <c r="C27" s="14" t="s">
        <v>100</v>
      </c>
      <c r="D27" s="7">
        <v>436.98219999999998</v>
      </c>
      <c r="E27" s="7">
        <v>127.11941127121401</v>
      </c>
      <c r="F27" s="7">
        <v>0.50027667030831002</v>
      </c>
      <c r="G27" s="7">
        <v>4.9201088739998997E-3</v>
      </c>
      <c r="H27" s="7">
        <v>55.548920000000003</v>
      </c>
      <c r="I27" s="7">
        <v>0.218612</v>
      </c>
      <c r="J27" s="7">
        <v>2.15E-3</v>
      </c>
      <c r="K27" s="7">
        <v>3231.11</v>
      </c>
      <c r="L27" s="7">
        <v>0.13524213041338701</v>
      </c>
    </row>
    <row r="28" spans="1:12" x14ac:dyDescent="0.3">
      <c r="A28" s="11">
        <v>2016</v>
      </c>
      <c r="B28" s="14" t="s">
        <v>99</v>
      </c>
      <c r="C28" s="14" t="s">
        <v>100</v>
      </c>
      <c r="D28" s="7">
        <v>412.4599</v>
      </c>
      <c r="E28" s="7">
        <v>127.217727105108</v>
      </c>
      <c r="F28" s="7">
        <v>0.50066442822684099</v>
      </c>
      <c r="G28" s="7">
        <v>4.9241150473052003E-3</v>
      </c>
      <c r="H28" s="7">
        <v>52.472211000000001</v>
      </c>
      <c r="I28" s="7">
        <v>0.20650399999999999</v>
      </c>
      <c r="J28" s="7">
        <v>2.0309999999999998E-3</v>
      </c>
      <c r="K28" s="7">
        <v>3235.64</v>
      </c>
      <c r="L28" s="7">
        <v>0.127473977327515</v>
      </c>
    </row>
    <row r="29" spans="1:12" x14ac:dyDescent="0.3">
      <c r="A29" s="11">
        <v>2017</v>
      </c>
      <c r="B29" s="14" t="s">
        <v>99</v>
      </c>
      <c r="C29" s="14" t="s">
        <v>100</v>
      </c>
      <c r="D29" s="7">
        <v>265</v>
      </c>
      <c r="E29" s="7">
        <v>129.235822641509</v>
      </c>
      <c r="F29" s="7">
        <v>0.50860377358490605</v>
      </c>
      <c r="G29" s="7">
        <v>5.0037735849056599E-3</v>
      </c>
      <c r="H29" s="7">
        <v>34.247492999999999</v>
      </c>
      <c r="I29" s="7">
        <v>0.13478000000000001</v>
      </c>
      <c r="J29" s="7">
        <v>1.3259999999999999E-3</v>
      </c>
      <c r="K29" s="7">
        <v>3240.17</v>
      </c>
      <c r="L29" s="7">
        <v>8.1785832224852403E-2</v>
      </c>
    </row>
    <row r="30" spans="1:12" x14ac:dyDescent="0.3">
      <c r="A30" s="11">
        <v>2018</v>
      </c>
      <c r="B30" s="14" t="s">
        <v>99</v>
      </c>
      <c r="C30" s="14" t="s">
        <v>100</v>
      </c>
      <c r="D30" s="7">
        <v>2863.9</v>
      </c>
      <c r="E30" s="7">
        <v>128.53644715248399</v>
      </c>
      <c r="F30" s="7">
        <v>0.505853207165055</v>
      </c>
      <c r="G30" s="7">
        <v>4.9757323928908102E-3</v>
      </c>
      <c r="H30" s="7">
        <v>368.11553099999998</v>
      </c>
      <c r="I30" s="7">
        <v>1.4487129999999999</v>
      </c>
      <c r="J30" s="7">
        <v>1.4250000000000001E-2</v>
      </c>
      <c r="K30" s="7">
        <v>3244.7</v>
      </c>
      <c r="L30" s="7">
        <v>0.88263938114463603</v>
      </c>
    </row>
    <row r="31" spans="1:12" x14ac:dyDescent="0.3">
      <c r="A31" s="11">
        <v>2019</v>
      </c>
      <c r="B31" s="14" t="s">
        <v>99</v>
      </c>
      <c r="C31" s="14" t="s">
        <v>100</v>
      </c>
      <c r="D31" s="7">
        <v>822</v>
      </c>
      <c r="E31" s="7">
        <v>129.73094647201901</v>
      </c>
      <c r="F31" s="7">
        <v>0.51055352798053499</v>
      </c>
      <c r="G31" s="7">
        <v>5.0218978102189796E-3</v>
      </c>
      <c r="H31" s="7">
        <v>106.63883800000001</v>
      </c>
      <c r="I31" s="7">
        <v>0.41967500000000002</v>
      </c>
      <c r="J31" s="7">
        <v>4.1279999999999997E-3</v>
      </c>
      <c r="K31" s="7">
        <v>3253.46</v>
      </c>
      <c r="L31" s="7">
        <v>0.25265409748390899</v>
      </c>
    </row>
    <row r="32" spans="1:12" x14ac:dyDescent="0.3">
      <c r="A32" s="11">
        <v>2020</v>
      </c>
      <c r="B32" s="14" t="s">
        <v>99</v>
      </c>
      <c r="C32" s="14" t="s">
        <v>100</v>
      </c>
      <c r="D32" s="7">
        <v>309.02999999999997</v>
      </c>
      <c r="E32" s="7">
        <v>127.125233796072</v>
      </c>
      <c r="F32" s="7">
        <v>0.50029770572436305</v>
      </c>
      <c r="G32" s="7">
        <v>4.9218522473546298E-3</v>
      </c>
      <c r="H32" s="7">
        <v>39.285511</v>
      </c>
      <c r="I32" s="7">
        <v>0.15460699999999999</v>
      </c>
      <c r="J32" s="7">
        <v>1.521E-3</v>
      </c>
      <c r="K32" s="7">
        <v>3262.22</v>
      </c>
      <c r="L32" s="7">
        <v>9.4729969162104299E-2</v>
      </c>
    </row>
    <row r="33" spans="1:12" x14ac:dyDescent="0.3">
      <c r="A33" s="11">
        <v>2021</v>
      </c>
      <c r="B33" s="14" t="s">
        <v>99</v>
      </c>
      <c r="C33" s="14" t="s">
        <v>100</v>
      </c>
      <c r="D33" s="7">
        <v>505</v>
      </c>
      <c r="E33" s="7">
        <v>127.359847524752</v>
      </c>
      <c r="F33" s="7">
        <v>0.501221782178218</v>
      </c>
      <c r="G33" s="7">
        <v>4.9306930693069299E-3</v>
      </c>
      <c r="H33" s="7">
        <v>64.316722999999996</v>
      </c>
      <c r="I33" s="7">
        <v>0.25311699999999998</v>
      </c>
      <c r="J33" s="7">
        <v>2.49E-3</v>
      </c>
      <c r="K33" s="7">
        <v>3270.98</v>
      </c>
      <c r="L33" s="7">
        <v>0.154387981583501</v>
      </c>
    </row>
    <row r="34" spans="1:12" x14ac:dyDescent="0.3">
      <c r="A34" s="11">
        <v>2022</v>
      </c>
      <c r="B34" s="14" t="s">
        <v>99</v>
      </c>
      <c r="C34" s="14" t="s">
        <v>100</v>
      </c>
      <c r="D34" s="7">
        <v>229.47</v>
      </c>
      <c r="E34" s="7">
        <v>126.944838105199</v>
      </c>
      <c r="F34" s="7">
        <v>0.49959036039569399</v>
      </c>
      <c r="G34" s="7">
        <v>4.9156752516668796E-3</v>
      </c>
      <c r="H34" s="7">
        <v>29.130032</v>
      </c>
      <c r="I34" s="7">
        <v>0.11464100000000001</v>
      </c>
      <c r="J34" s="7">
        <v>1.1280000000000001E-3</v>
      </c>
      <c r="K34" s="7">
        <v>3279.74</v>
      </c>
      <c r="L34" s="7">
        <v>6.9965911932043406E-2</v>
      </c>
    </row>
    <row r="35" spans="1:12" x14ac:dyDescent="0.3">
      <c r="A35" s="11">
        <v>2023</v>
      </c>
      <c r="B35" s="14" t="s">
        <v>99</v>
      </c>
      <c r="C35" s="14" t="s">
        <v>100</v>
      </c>
      <c r="D35" s="7">
        <v>637</v>
      </c>
      <c r="E35" s="7">
        <v>127.40164678179001</v>
      </c>
      <c r="F35" s="7">
        <v>0.50138775510204103</v>
      </c>
      <c r="G35" s="7">
        <v>4.9309262166405002E-3</v>
      </c>
      <c r="H35" s="7">
        <v>81.154848999999999</v>
      </c>
      <c r="I35" s="7">
        <v>0.319384</v>
      </c>
      <c r="J35" s="7">
        <v>3.1410000000000001E-3</v>
      </c>
      <c r="K35" s="7">
        <v>3288.5</v>
      </c>
      <c r="L35" s="7">
        <v>0.19370533677968699</v>
      </c>
    </row>
    <row r="36" spans="1:12" x14ac:dyDescent="0.3">
      <c r="A36" s="12">
        <v>2024</v>
      </c>
      <c r="B36" s="5" t="s">
        <v>99</v>
      </c>
      <c r="C36" s="5" t="s">
        <v>100</v>
      </c>
      <c r="D36" s="8">
        <v>63</v>
      </c>
      <c r="E36" s="8">
        <v>131.11799999999999</v>
      </c>
      <c r="F36" s="8">
        <v>0.51601587301587304</v>
      </c>
      <c r="G36" s="8">
        <v>5.0793650793650802E-3</v>
      </c>
      <c r="H36" s="8">
        <v>8.2604340000000001</v>
      </c>
      <c r="I36" s="8">
        <v>3.2509000000000003E-2</v>
      </c>
      <c r="J36" s="8">
        <v>3.2000000000000003E-4</v>
      </c>
      <c r="K36" s="8">
        <v>3293.07</v>
      </c>
      <c r="L36" s="8">
        <v>1.9131084368082099E-2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.77734375" customWidth="1"/>
    <col min="2" max="2" width="11.77734375" customWidth="1"/>
    <col min="3" max="3" width="4.109375" customWidth="1"/>
    <col min="4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99</v>
      </c>
      <c r="C2" s="13" t="s">
        <v>100</v>
      </c>
      <c r="D2" s="6">
        <v>134</v>
      </c>
      <c r="E2" s="6">
        <v>10.628810672241199</v>
      </c>
      <c r="F2" s="6">
        <v>0.14604696367089701</v>
      </c>
      <c r="G2" s="6">
        <v>8.0791937349857807E-3</v>
      </c>
      <c r="H2" s="6">
        <v>1.42426063008033</v>
      </c>
      <c r="I2" s="6">
        <v>1.9570293131900101E-2</v>
      </c>
      <c r="J2" s="6">
        <v>1.0826119604880899E-3</v>
      </c>
      <c r="K2" s="6">
        <v>2053.7548600300402</v>
      </c>
      <c r="L2" s="6">
        <v>6.5246345904223402E-2</v>
      </c>
    </row>
    <row r="3" spans="1:12" x14ac:dyDescent="0.3">
      <c r="A3" s="11">
        <v>1991</v>
      </c>
      <c r="B3" s="14" t="s">
        <v>99</v>
      </c>
      <c r="C3" s="14" t="s">
        <v>100</v>
      </c>
      <c r="D3" s="7">
        <v>64</v>
      </c>
      <c r="E3" s="7">
        <v>10.628810672241199</v>
      </c>
      <c r="F3" s="7">
        <v>0.14604696367089701</v>
      </c>
      <c r="G3" s="7">
        <v>8.0791937349857807E-3</v>
      </c>
      <c r="H3" s="7">
        <v>0.68024388302343997</v>
      </c>
      <c r="I3" s="7">
        <v>9.3470056749373892E-3</v>
      </c>
      <c r="J3" s="7">
        <v>5.1706839903909005E-4</v>
      </c>
      <c r="K3" s="7">
        <v>2060.9428023750802</v>
      </c>
      <c r="L3" s="7">
        <v>3.1053748763063601E-2</v>
      </c>
    </row>
    <row r="4" spans="1:12" x14ac:dyDescent="0.3">
      <c r="A4" s="11">
        <v>1992</v>
      </c>
      <c r="B4" s="14" t="s">
        <v>99</v>
      </c>
      <c r="C4" s="14" t="s">
        <v>100</v>
      </c>
      <c r="D4" s="7">
        <v>971</v>
      </c>
      <c r="E4" s="7">
        <v>10.628810672241199</v>
      </c>
      <c r="F4" s="7">
        <v>0.14604696367089701</v>
      </c>
      <c r="G4" s="7">
        <v>8.0791937349857807E-3</v>
      </c>
      <c r="H4" s="7">
        <v>10.3205751627462</v>
      </c>
      <c r="I4" s="7">
        <v>0.14181160172444099</v>
      </c>
      <c r="J4" s="7">
        <v>7.8448971166711901E-3</v>
      </c>
      <c r="K4" s="7">
        <v>2066.5334241989999</v>
      </c>
      <c r="L4" s="7">
        <v>0.469869003147803</v>
      </c>
    </row>
    <row r="5" spans="1:12" x14ac:dyDescent="0.3">
      <c r="A5" s="11">
        <v>1993</v>
      </c>
      <c r="B5" s="14" t="s">
        <v>99</v>
      </c>
      <c r="C5" s="14" t="s">
        <v>100</v>
      </c>
      <c r="D5" s="7">
        <v>355</v>
      </c>
      <c r="E5" s="7">
        <v>10.628810672241199</v>
      </c>
      <c r="F5" s="7">
        <v>0.14604696367089701</v>
      </c>
      <c r="G5" s="7">
        <v>8.0791937349857807E-3</v>
      </c>
      <c r="H5" s="7">
        <v>3.7732277886456398</v>
      </c>
      <c r="I5" s="7">
        <v>5.1846672103168297E-2</v>
      </c>
      <c r="J5" s="7">
        <v>2.8681137759199501E-3</v>
      </c>
      <c r="K5" s="7">
        <v>2071.7247158926398</v>
      </c>
      <c r="L5" s="7">
        <v>0.17135481238251399</v>
      </c>
    </row>
    <row r="6" spans="1:12" x14ac:dyDescent="0.3">
      <c r="A6" s="11">
        <v>1994</v>
      </c>
      <c r="B6" s="14" t="s">
        <v>99</v>
      </c>
      <c r="C6" s="14" t="s">
        <v>100</v>
      </c>
      <c r="D6" s="7">
        <v>355</v>
      </c>
      <c r="E6" s="7">
        <v>10.628810672241199</v>
      </c>
      <c r="F6" s="7">
        <v>0.14604696367089701</v>
      </c>
      <c r="G6" s="7">
        <v>8.0791937349857807E-3</v>
      </c>
      <c r="H6" s="7">
        <v>3.7732277886456398</v>
      </c>
      <c r="I6" s="7">
        <v>5.1846672103168401E-2</v>
      </c>
      <c r="J6" s="7">
        <v>2.8681137759199501E-3</v>
      </c>
      <c r="K6" s="7">
        <v>2074.5200268046001</v>
      </c>
      <c r="L6" s="7">
        <v>0.171123920431276</v>
      </c>
    </row>
    <row r="7" spans="1:12" x14ac:dyDescent="0.3">
      <c r="A7" s="11">
        <v>1995</v>
      </c>
      <c r="B7" s="14" t="s">
        <v>99</v>
      </c>
      <c r="C7" s="14" t="s">
        <v>100</v>
      </c>
      <c r="D7" s="7">
        <v>355</v>
      </c>
      <c r="E7" s="7">
        <v>10.628810672241199</v>
      </c>
      <c r="F7" s="7">
        <v>0.14604696367089701</v>
      </c>
      <c r="G7" s="7">
        <v>8.0791937349857807E-3</v>
      </c>
      <c r="H7" s="7">
        <v>3.7732277886456398</v>
      </c>
      <c r="I7" s="7">
        <v>5.1846672103168401E-2</v>
      </c>
      <c r="J7" s="7">
        <v>2.8681137759199501E-3</v>
      </c>
      <c r="K7" s="7">
        <v>2076.9160075862801</v>
      </c>
      <c r="L7" s="7">
        <v>0.17092650771783899</v>
      </c>
    </row>
    <row r="8" spans="1:12" x14ac:dyDescent="0.3">
      <c r="A8" s="11">
        <v>1996</v>
      </c>
      <c r="B8" s="14" t="s">
        <v>99</v>
      </c>
      <c r="C8" s="14" t="s">
        <v>100</v>
      </c>
      <c r="D8" s="7">
        <v>355</v>
      </c>
      <c r="E8" s="7">
        <v>10.628810672241199</v>
      </c>
      <c r="F8" s="7">
        <v>0.14604696367089701</v>
      </c>
      <c r="G8" s="7">
        <v>8.0791937349857807E-3</v>
      </c>
      <c r="H8" s="7">
        <v>3.7732277886456398</v>
      </c>
      <c r="I8" s="7">
        <v>5.1846672103168297E-2</v>
      </c>
      <c r="J8" s="7">
        <v>2.8681137759199501E-3</v>
      </c>
      <c r="K8" s="7">
        <v>2080.90930888908</v>
      </c>
      <c r="L8" s="7">
        <v>0.17059849676462899</v>
      </c>
    </row>
    <row r="9" spans="1:12" x14ac:dyDescent="0.3">
      <c r="A9" s="11">
        <v>1997</v>
      </c>
      <c r="B9" s="14" t="s">
        <v>99</v>
      </c>
      <c r="C9" s="14" t="s">
        <v>100</v>
      </c>
      <c r="D9" s="7">
        <v>355</v>
      </c>
      <c r="E9" s="7">
        <v>10.628810672241199</v>
      </c>
      <c r="F9" s="7">
        <v>0.14604696367089701</v>
      </c>
      <c r="G9" s="7">
        <v>8.0791937349857807E-3</v>
      </c>
      <c r="H9" s="7">
        <v>3.7732277886456398</v>
      </c>
      <c r="I9" s="7">
        <v>5.1846672103168401E-2</v>
      </c>
      <c r="J9" s="7">
        <v>2.8681137759199501E-3</v>
      </c>
      <c r="K9" s="7">
        <v>2084.5032800616</v>
      </c>
      <c r="L9" s="7">
        <v>0.17030436142538</v>
      </c>
    </row>
    <row r="10" spans="1:12" x14ac:dyDescent="0.3">
      <c r="A10" s="11">
        <v>1998</v>
      </c>
      <c r="B10" s="14" t="s">
        <v>99</v>
      </c>
      <c r="C10" s="14" t="s">
        <v>100</v>
      </c>
      <c r="D10" s="7">
        <v>54</v>
      </c>
      <c r="E10" s="7">
        <v>10.628810672241199</v>
      </c>
      <c r="F10" s="7">
        <v>0.14604696367089701</v>
      </c>
      <c r="G10" s="7">
        <v>8.0791937349857807E-3</v>
      </c>
      <c r="H10" s="7">
        <v>0.57395577630102701</v>
      </c>
      <c r="I10" s="7">
        <v>7.8865360382284304E-3</v>
      </c>
      <c r="J10" s="7">
        <v>4.36276461689233E-4</v>
      </c>
      <c r="K10" s="7">
        <v>2087.6979211038401</v>
      </c>
      <c r="L10" s="7">
        <v>2.5865811070716699E-2</v>
      </c>
    </row>
    <row r="11" spans="1:12" x14ac:dyDescent="0.3">
      <c r="A11" s="11">
        <v>1999</v>
      </c>
      <c r="B11" s="14" t="s">
        <v>99</v>
      </c>
      <c r="C11" s="14" t="s">
        <v>100</v>
      </c>
      <c r="D11" s="7">
        <v>342.92</v>
      </c>
      <c r="E11" s="7">
        <v>10.628810672241199</v>
      </c>
      <c r="F11" s="7">
        <v>0.14604696367089701</v>
      </c>
      <c r="G11" s="7">
        <v>8.0791937349857807E-3</v>
      </c>
      <c r="H11" s="7">
        <v>3.6448317557249701</v>
      </c>
      <c r="I11" s="7">
        <v>5.0082424782023897E-2</v>
      </c>
      <c r="J11" s="7">
        <v>2.7705171156013298E-3</v>
      </c>
      <c r="K11" s="7">
        <v>2090.4932320158</v>
      </c>
      <c r="L11" s="7">
        <v>0.16403784271969801</v>
      </c>
    </row>
    <row r="12" spans="1:12" x14ac:dyDescent="0.3">
      <c r="A12" s="11">
        <v>2000</v>
      </c>
      <c r="B12" s="14" t="s">
        <v>99</v>
      </c>
      <c r="C12" s="14" t="s">
        <v>100</v>
      </c>
      <c r="D12" s="7">
        <v>327.07000000000102</v>
      </c>
      <c r="E12" s="7">
        <v>10.628810672241199</v>
      </c>
      <c r="F12" s="7">
        <v>0.14604696367089701</v>
      </c>
      <c r="G12" s="7">
        <v>8.0791937349857807E-3</v>
      </c>
      <c r="H12" s="7">
        <v>3.4763651065699501</v>
      </c>
      <c r="I12" s="7">
        <v>4.7767580407840203E-2</v>
      </c>
      <c r="J12" s="7">
        <v>2.6424618949017998E-3</v>
      </c>
      <c r="K12" s="7">
        <v>2095.28519357916</v>
      </c>
      <c r="L12" s="7">
        <v>0.156098082018754</v>
      </c>
    </row>
    <row r="13" spans="1:12" x14ac:dyDescent="0.3">
      <c r="A13" s="11">
        <v>2001</v>
      </c>
      <c r="B13" s="14" t="s">
        <v>99</v>
      </c>
      <c r="C13" s="14" t="s">
        <v>100</v>
      </c>
      <c r="D13" s="7">
        <v>111.14</v>
      </c>
      <c r="E13" s="7">
        <v>10.628810672241199</v>
      </c>
      <c r="F13" s="7">
        <v>0.14604696367089701</v>
      </c>
      <c r="G13" s="7">
        <v>8.0791937349857807E-3</v>
      </c>
      <c r="H13" s="7">
        <v>1.1812860181128899</v>
      </c>
      <c r="I13" s="7">
        <v>1.6231659542383502E-2</v>
      </c>
      <c r="J13" s="7">
        <v>8.9792159170631999E-4</v>
      </c>
      <c r="K13" s="7">
        <v>2097.68117436084</v>
      </c>
      <c r="L13" s="7">
        <v>5.29823127358066E-2</v>
      </c>
    </row>
    <row r="14" spans="1:12" x14ac:dyDescent="0.3">
      <c r="A14" s="11">
        <v>2002</v>
      </c>
      <c r="B14" s="14" t="s">
        <v>99</v>
      </c>
      <c r="C14" s="14" t="s">
        <v>100</v>
      </c>
      <c r="D14" s="7">
        <v>746.41</v>
      </c>
      <c r="E14" s="7">
        <v>10.628810672241199</v>
      </c>
      <c r="F14" s="7">
        <v>0.14604696367089701</v>
      </c>
      <c r="G14" s="7">
        <v>8.0791937349857807E-3</v>
      </c>
      <c r="H14" s="7">
        <v>7.9334505738675896</v>
      </c>
      <c r="I14" s="7">
        <v>0.109010914153594</v>
      </c>
      <c r="J14" s="7">
        <v>6.0303909957307297E-3</v>
      </c>
      <c r="K14" s="7">
        <v>2102.0738057939202</v>
      </c>
      <c r="L14" s="7">
        <v>0.35508267975305102</v>
      </c>
    </row>
    <row r="15" spans="1:12" x14ac:dyDescent="0.3">
      <c r="A15" s="11">
        <v>2003</v>
      </c>
      <c r="B15" s="14" t="s">
        <v>99</v>
      </c>
      <c r="C15" s="14" t="s">
        <v>100</v>
      </c>
      <c r="D15" s="7">
        <v>436.17</v>
      </c>
      <c r="E15" s="7">
        <v>10.628810672241199</v>
      </c>
      <c r="F15" s="7">
        <v>0.14604696367089701</v>
      </c>
      <c r="G15" s="7">
        <v>8.0791937349857807E-3</v>
      </c>
      <c r="H15" s="7">
        <v>4.6359683509114697</v>
      </c>
      <c r="I15" s="7">
        <v>6.3701304144335003E-2</v>
      </c>
      <c r="J15" s="7">
        <v>3.5239019313887498E-3</v>
      </c>
      <c r="K15" s="7">
        <v>2106.8657673572802</v>
      </c>
      <c r="L15" s="7">
        <v>0.20702315579748801</v>
      </c>
    </row>
    <row r="16" spans="1:12" x14ac:dyDescent="0.3">
      <c r="A16" s="11">
        <v>2004</v>
      </c>
      <c r="B16" s="14" t="s">
        <v>99</v>
      </c>
      <c r="C16" s="14" t="s">
        <v>100</v>
      </c>
      <c r="D16" s="7">
        <v>253.2</v>
      </c>
      <c r="E16" s="7">
        <v>10.628810672241199</v>
      </c>
      <c r="F16" s="7">
        <v>0.14604696367089701</v>
      </c>
      <c r="G16" s="7">
        <v>8.0791937349857807E-3</v>
      </c>
      <c r="H16" s="7">
        <v>2.69121486221148</v>
      </c>
      <c r="I16" s="7">
        <v>3.6979091201471102E-2</v>
      </c>
      <c r="J16" s="7">
        <v>2.0456518536984001E-3</v>
      </c>
      <c r="K16" s="7">
        <v>2114.0537097023198</v>
      </c>
      <c r="L16" s="7">
        <v>0.11976989933508</v>
      </c>
    </row>
    <row r="17" spans="1:12" x14ac:dyDescent="0.3">
      <c r="A17" s="11">
        <v>2005</v>
      </c>
      <c r="B17" s="14" t="s">
        <v>99</v>
      </c>
      <c r="C17" s="14" t="s">
        <v>100</v>
      </c>
      <c r="D17" s="7">
        <v>50.84</v>
      </c>
      <c r="E17" s="7">
        <v>10.628810672241199</v>
      </c>
      <c r="F17" s="7">
        <v>0.14604696367089701</v>
      </c>
      <c r="G17" s="7">
        <v>8.0791937349857807E-3</v>
      </c>
      <c r="H17" s="7">
        <v>0.54036873457674495</v>
      </c>
      <c r="I17" s="7">
        <v>7.4250276330284004E-3</v>
      </c>
      <c r="J17" s="7">
        <v>4.10746209486677E-4</v>
      </c>
      <c r="K17" s="7">
        <v>2121.6409821776401</v>
      </c>
      <c r="L17" s="7">
        <v>2.39625838806234E-2</v>
      </c>
    </row>
    <row r="18" spans="1:12" x14ac:dyDescent="0.3">
      <c r="A18" s="11">
        <v>2006</v>
      </c>
      <c r="B18" s="14" t="s">
        <v>99</v>
      </c>
      <c r="C18" s="14" t="s">
        <v>100</v>
      </c>
      <c r="D18" s="7">
        <v>1199.3</v>
      </c>
      <c r="E18" s="7">
        <v>10.628810672241199</v>
      </c>
      <c r="F18" s="7">
        <v>0.14604696367089701</v>
      </c>
      <c r="G18" s="7">
        <v>8.0791937349857807E-3</v>
      </c>
      <c r="H18" s="7">
        <v>12.747132639218901</v>
      </c>
      <c r="I18" s="7">
        <v>0.175154123530506</v>
      </c>
      <c r="J18" s="7">
        <v>9.6893770463684394E-3</v>
      </c>
      <c r="K18" s="7">
        <v>2129.22825465296</v>
      </c>
      <c r="L18" s="7">
        <v>0.56325572299690896</v>
      </c>
    </row>
    <row r="19" spans="1:12" x14ac:dyDescent="0.3">
      <c r="A19" s="11">
        <v>2007</v>
      </c>
      <c r="B19" s="14" t="s">
        <v>99</v>
      </c>
      <c r="C19" s="14" t="s">
        <v>100</v>
      </c>
      <c r="D19" s="7">
        <v>38</v>
      </c>
      <c r="E19" s="7">
        <v>10.628810672241199</v>
      </c>
      <c r="F19" s="7">
        <v>0.14604696367089701</v>
      </c>
      <c r="G19" s="7">
        <v>8.0791937349857807E-3</v>
      </c>
      <c r="H19" s="7">
        <v>0.40389480554516699</v>
      </c>
      <c r="I19" s="7">
        <v>5.5497846194940701E-3</v>
      </c>
      <c r="J19" s="7">
        <v>3.0700936192946E-4</v>
      </c>
      <c r="K19" s="7">
        <v>2136.8155271282799</v>
      </c>
      <c r="L19" s="7">
        <v>1.77834724231292E-2</v>
      </c>
    </row>
    <row r="20" spans="1:12" x14ac:dyDescent="0.3">
      <c r="A20" s="11">
        <v>2008</v>
      </c>
      <c r="B20" s="14" t="s">
        <v>99</v>
      </c>
      <c r="C20" s="14" t="s">
        <v>100</v>
      </c>
      <c r="D20" s="7">
        <v>112.4</v>
      </c>
      <c r="E20" s="7">
        <v>10.628810672241199</v>
      </c>
      <c r="F20" s="7">
        <v>0.14604696367089701</v>
      </c>
      <c r="G20" s="7">
        <v>8.0791937349857807E-3</v>
      </c>
      <c r="H20" s="7">
        <v>1.19467831955991</v>
      </c>
      <c r="I20" s="7">
        <v>1.64156787166088E-2</v>
      </c>
      <c r="J20" s="7">
        <v>9.0810137581240195E-4</v>
      </c>
      <c r="K20" s="7">
        <v>2143.6041393430401</v>
      </c>
      <c r="L20" s="7">
        <v>5.2435054559303002E-2</v>
      </c>
    </row>
    <row r="21" spans="1:12" x14ac:dyDescent="0.3">
      <c r="A21" s="11">
        <v>2009</v>
      </c>
      <c r="B21" s="14" t="s">
        <v>99</v>
      </c>
      <c r="C21" s="14" t="s">
        <v>100</v>
      </c>
      <c r="D21" s="7">
        <v>315.3</v>
      </c>
      <c r="E21" s="7">
        <v>10.628810672241199</v>
      </c>
      <c r="F21" s="7">
        <v>0.14604696367089701</v>
      </c>
      <c r="G21" s="7">
        <v>8.0791937349857807E-3</v>
      </c>
      <c r="H21" s="7">
        <v>3.3512640049576601</v>
      </c>
      <c r="I21" s="7">
        <v>4.6048607645433802E-2</v>
      </c>
      <c r="J21" s="7">
        <v>2.54736978464102E-3</v>
      </c>
      <c r="K21" s="7">
        <v>2146.7987803852802</v>
      </c>
      <c r="L21" s="7">
        <v>0.14686984308022299</v>
      </c>
    </row>
    <row r="22" spans="1:12" x14ac:dyDescent="0.3">
      <c r="A22" s="11">
        <v>2010</v>
      </c>
      <c r="B22" s="14" t="s">
        <v>99</v>
      </c>
      <c r="C22" s="14" t="s">
        <v>100</v>
      </c>
      <c r="D22" s="7">
        <v>21.5</v>
      </c>
      <c r="E22" s="7">
        <v>10.628810672241199</v>
      </c>
      <c r="F22" s="7">
        <v>0.14604696367089701</v>
      </c>
      <c r="G22" s="7">
        <v>8.0791937349857807E-3</v>
      </c>
      <c r="H22" s="7">
        <v>0.22851942945318601</v>
      </c>
      <c r="I22" s="7">
        <v>3.1400097189242799E-3</v>
      </c>
      <c r="J22" s="7">
        <v>1.7370266530219501E-4</v>
      </c>
      <c r="K22" s="7">
        <v>2153.1880624697601</v>
      </c>
      <c r="L22" s="7">
        <v>9.9851937574551505E-3</v>
      </c>
    </row>
    <row r="23" spans="1:12" x14ac:dyDescent="0.3">
      <c r="A23" s="11">
        <v>2011</v>
      </c>
      <c r="B23" s="14" t="s">
        <v>99</v>
      </c>
      <c r="C23" s="14" t="s">
        <v>100</v>
      </c>
      <c r="D23" s="7">
        <v>292.8</v>
      </c>
      <c r="E23" s="7">
        <v>10.628810672241199</v>
      </c>
      <c r="F23" s="7">
        <v>0.14604696367089701</v>
      </c>
      <c r="G23" s="7">
        <v>8.0791937349857807E-3</v>
      </c>
      <c r="H23" s="7">
        <v>3.11211576483224</v>
      </c>
      <c r="I23" s="7">
        <v>4.2762550962838597E-2</v>
      </c>
      <c r="J23" s="7">
        <v>2.3655879256038398E-3</v>
      </c>
      <c r="K23" s="7">
        <v>2161.1746650753598</v>
      </c>
      <c r="L23" s="7">
        <v>0.13548187693093799</v>
      </c>
    </row>
    <row r="24" spans="1:12" x14ac:dyDescent="0.3">
      <c r="A24" s="11">
        <v>2012</v>
      </c>
      <c r="B24" s="14" t="s">
        <v>99</v>
      </c>
      <c r="C24" s="14" t="s">
        <v>100</v>
      </c>
      <c r="D24" s="7">
        <v>20.29</v>
      </c>
      <c r="E24" s="7">
        <v>10.628810672241199</v>
      </c>
      <c r="F24" s="7">
        <v>0.14604696367089701</v>
      </c>
      <c r="G24" s="7">
        <v>8.0791937349857807E-3</v>
      </c>
      <c r="H24" s="7">
        <v>0.215658568539775</v>
      </c>
      <c r="I24" s="7">
        <v>2.9632928928824999E-3</v>
      </c>
      <c r="J24" s="7">
        <v>1.6392684088286199E-4</v>
      </c>
      <c r="K24" s="7">
        <v>2172.3559087232002</v>
      </c>
      <c r="L24" s="7">
        <v>9.3400901383260994E-3</v>
      </c>
    </row>
    <row r="25" spans="1:12" x14ac:dyDescent="0.3">
      <c r="A25" s="11">
        <v>2013</v>
      </c>
      <c r="B25" s="14" t="s">
        <v>99</v>
      </c>
      <c r="C25" s="14" t="s">
        <v>100</v>
      </c>
      <c r="D25" s="7">
        <v>24.7</v>
      </c>
      <c r="E25" s="7">
        <v>7.7176050481748204</v>
      </c>
      <c r="F25" s="7">
        <v>3.6886256373431903E-2</v>
      </c>
      <c r="G25" s="7">
        <v>2.0405163100196402E-3</v>
      </c>
      <c r="H25" s="7">
        <v>0.190624844689918</v>
      </c>
      <c r="I25" s="7">
        <v>9.1109053242376895E-4</v>
      </c>
      <c r="J25" s="7">
        <v>5.0400752857484997E-5</v>
      </c>
      <c r="K25" s="7">
        <v>2178.3458606774002</v>
      </c>
      <c r="L25" s="7">
        <v>1.13388789383147E-2</v>
      </c>
    </row>
    <row r="26" spans="1:12" x14ac:dyDescent="0.3">
      <c r="A26" s="11">
        <v>2014</v>
      </c>
      <c r="B26" s="14" t="s">
        <v>99</v>
      </c>
      <c r="C26" s="14" t="s">
        <v>100</v>
      </c>
      <c r="D26" s="7">
        <v>161.5</v>
      </c>
      <c r="E26" s="7">
        <v>11.0859430763871</v>
      </c>
      <c r="F26" s="7">
        <v>0.16543560553474901</v>
      </c>
      <c r="G26" s="7">
        <v>9.1517569019222995E-3</v>
      </c>
      <c r="H26" s="7">
        <v>1.79037980683651</v>
      </c>
      <c r="I26" s="7">
        <v>2.6717850293861999E-2</v>
      </c>
      <c r="J26" s="7">
        <v>1.4780087396604499E-3</v>
      </c>
      <c r="K26" s="7">
        <v>2186.3324632829999</v>
      </c>
      <c r="L26" s="7">
        <v>7.3867997073734801E-2</v>
      </c>
    </row>
    <row r="27" spans="1:12" x14ac:dyDescent="0.3">
      <c r="A27" s="11">
        <v>2015</v>
      </c>
      <c r="B27" s="14" t="s">
        <v>99</v>
      </c>
      <c r="C27" s="14" t="s">
        <v>100</v>
      </c>
      <c r="D27" s="7">
        <v>70.849999999999994</v>
      </c>
      <c r="E27" s="7">
        <v>8.55566433488214</v>
      </c>
      <c r="F27" s="7">
        <v>5.3496944985168299E-2</v>
      </c>
      <c r="G27" s="7">
        <v>2.9594054672646298E-3</v>
      </c>
      <c r="H27" s="7">
        <v>0.6061688181264</v>
      </c>
      <c r="I27" s="7">
        <v>3.79025855219917E-3</v>
      </c>
      <c r="J27" s="7">
        <v>2.0967387735569901E-4</v>
      </c>
      <c r="K27" s="7">
        <v>2195.5170562794401</v>
      </c>
      <c r="L27" s="7">
        <v>3.2270302704941703E-2</v>
      </c>
    </row>
    <row r="28" spans="1:12" x14ac:dyDescent="0.3">
      <c r="A28" s="11">
        <v>2016</v>
      </c>
      <c r="B28" s="14" t="s">
        <v>99</v>
      </c>
      <c r="C28" s="14" t="s">
        <v>100</v>
      </c>
      <c r="D28" s="7">
        <v>25.95</v>
      </c>
      <c r="E28" s="7">
        <v>9.8267227643243196</v>
      </c>
      <c r="F28" s="7">
        <v>5.4483845414399899E-2</v>
      </c>
      <c r="G28" s="7">
        <v>3.0139999590944599E-3</v>
      </c>
      <c r="H28" s="7">
        <v>0.25500345573421701</v>
      </c>
      <c r="I28" s="7">
        <v>1.41385578850368E-3</v>
      </c>
      <c r="J28" s="7">
        <v>7.8213298938501399E-5</v>
      </c>
      <c r="K28" s="7">
        <v>2200.70834797308</v>
      </c>
      <c r="L28" s="7">
        <v>1.1791657910463599E-2</v>
      </c>
    </row>
    <row r="29" spans="1:12" x14ac:dyDescent="0.3">
      <c r="A29" s="11">
        <v>2017</v>
      </c>
      <c r="B29" s="14" t="s">
        <v>99</v>
      </c>
      <c r="C29" s="14" t="s">
        <v>100</v>
      </c>
      <c r="D29" s="7">
        <v>52.86</v>
      </c>
      <c r="E29" s="7">
        <v>10.486367229029501</v>
      </c>
      <c r="F29" s="7">
        <v>4.1748548202450497E-2</v>
      </c>
      <c r="G29" s="7">
        <v>2.3094941558802402E-3</v>
      </c>
      <c r="H29" s="7">
        <v>0.55430937172649997</v>
      </c>
      <c r="I29" s="7">
        <v>2.2068282579815299E-3</v>
      </c>
      <c r="J29" s="7">
        <v>1.2207986107983001E-4</v>
      </c>
      <c r="K29" s="7">
        <v>2209.09428070896</v>
      </c>
      <c r="L29" s="7">
        <v>2.3928358541146399E-2</v>
      </c>
    </row>
    <row r="30" spans="1:12" x14ac:dyDescent="0.3">
      <c r="A30" s="11">
        <v>2018</v>
      </c>
      <c r="B30" s="14" t="s">
        <v>99</v>
      </c>
      <c r="C30" s="14" t="s">
        <v>100</v>
      </c>
      <c r="D30" s="7">
        <v>110.30000000000101</v>
      </c>
      <c r="E30" s="7">
        <v>11.955780000000001</v>
      </c>
      <c r="F30" s="7">
        <v>6.3710403166978097E-2</v>
      </c>
      <c r="G30" s="7">
        <v>3.52440528157751E-3</v>
      </c>
      <c r="H30" s="7">
        <v>1.3187225339999999</v>
      </c>
      <c r="I30" s="7">
        <v>7.02725746931769E-3</v>
      </c>
      <c r="J30" s="7">
        <v>3.88741902557999E-4</v>
      </c>
      <c r="K30" s="7">
        <v>2209.8929409695202</v>
      </c>
      <c r="L30" s="7">
        <v>4.99119201456023E-2</v>
      </c>
    </row>
    <row r="31" spans="1:12" x14ac:dyDescent="0.3">
      <c r="A31" s="11">
        <v>2019</v>
      </c>
      <c r="B31" s="14" t="s">
        <v>99</v>
      </c>
      <c r="C31" s="14" t="s">
        <v>100</v>
      </c>
      <c r="D31" s="7">
        <v>200.18</v>
      </c>
      <c r="E31" s="7">
        <v>15.250679999999999</v>
      </c>
      <c r="F31" s="7">
        <v>0.10568918510221501</v>
      </c>
      <c r="G31" s="7">
        <v>5.84663577161191E-3</v>
      </c>
      <c r="H31" s="7">
        <v>3.0528811224000001</v>
      </c>
      <c r="I31" s="7">
        <v>2.1156861073761399E-2</v>
      </c>
      <c r="J31" s="7">
        <v>1.17037954876127E-3</v>
      </c>
      <c r="K31" s="7">
        <v>2213.4869121420402</v>
      </c>
      <c r="L31" s="7">
        <v>9.04364958753162E-2</v>
      </c>
    </row>
    <row r="32" spans="1:12" x14ac:dyDescent="0.3">
      <c r="A32" s="11">
        <v>2020</v>
      </c>
      <c r="B32" s="14" t="s">
        <v>99</v>
      </c>
      <c r="C32" s="14" t="s">
        <v>100</v>
      </c>
      <c r="D32" s="7">
        <v>64.23</v>
      </c>
      <c r="E32" s="7">
        <v>17.872622837478101</v>
      </c>
      <c r="F32" s="7">
        <v>9.5702872857894E-2</v>
      </c>
      <c r="G32" s="7">
        <v>5.2942014772452001E-3</v>
      </c>
      <c r="H32" s="7">
        <v>1.1479585648512101</v>
      </c>
      <c r="I32" s="7">
        <v>6.1469955236625297E-3</v>
      </c>
      <c r="J32" s="7">
        <v>3.4004656088345903E-4</v>
      </c>
      <c r="K32" s="7">
        <v>2221.0741846173601</v>
      </c>
      <c r="L32" s="7">
        <v>2.8918439755340902E-2</v>
      </c>
    </row>
    <row r="33" spans="1:12" x14ac:dyDescent="0.3">
      <c r="A33" s="11">
        <v>2021</v>
      </c>
      <c r="B33" s="14" t="s">
        <v>99</v>
      </c>
      <c r="C33" s="14" t="s">
        <v>100</v>
      </c>
      <c r="D33" s="7">
        <v>11.009876834624</v>
      </c>
      <c r="E33" s="7">
        <v>12.964552906943601</v>
      </c>
      <c r="F33" s="7">
        <v>5.3855261591579898E-2</v>
      </c>
      <c r="G33" s="7">
        <v>2.97922723698101E-3</v>
      </c>
      <c r="H33" s="7">
        <v>0.14273802430980001</v>
      </c>
      <c r="I33" s="7">
        <v>5.9293935498172404E-4</v>
      </c>
      <c r="J33" s="7">
        <v>3.2800900488350699E-5</v>
      </c>
      <c r="K33" s="7">
        <v>2230.2587776137998</v>
      </c>
      <c r="L33" s="7">
        <v>4.9365916391118101E-3</v>
      </c>
    </row>
    <row r="34" spans="1:12" x14ac:dyDescent="0.3">
      <c r="A34" s="11">
        <v>2022</v>
      </c>
      <c r="B34" s="14" t="s">
        <v>99</v>
      </c>
      <c r="C34" s="14" t="s">
        <v>100</v>
      </c>
      <c r="D34" s="7">
        <v>53.26</v>
      </c>
      <c r="E34" s="7">
        <v>8.6504750406928306</v>
      </c>
      <c r="F34" s="7">
        <v>9.4335618981536307E-2</v>
      </c>
      <c r="G34" s="7">
        <v>5.21856615642541E-3</v>
      </c>
      <c r="H34" s="7">
        <v>0.46072430066730002</v>
      </c>
      <c r="I34" s="7">
        <v>5.0243150669566196E-3</v>
      </c>
      <c r="J34" s="7">
        <v>2.7794083349121801E-4</v>
      </c>
      <c r="K34" s="7">
        <v>2240.64136100108</v>
      </c>
      <c r="L34" s="7">
        <v>2.3769979849075199E-2</v>
      </c>
    </row>
    <row r="35" spans="1:12" x14ac:dyDescent="0.3">
      <c r="A35" s="11">
        <v>2023</v>
      </c>
      <c r="B35" s="14" t="s">
        <v>99</v>
      </c>
      <c r="C35" s="14" t="s">
        <v>100</v>
      </c>
      <c r="D35" s="7">
        <v>59.55</v>
      </c>
      <c r="E35" s="7">
        <v>13.9777074377128</v>
      </c>
      <c r="F35" s="7">
        <v>0.13393527980890099</v>
      </c>
      <c r="G35" s="7">
        <v>7.4091856915562302E-3</v>
      </c>
      <c r="H35" s="7">
        <v>0.83237247791580005</v>
      </c>
      <c r="I35" s="7">
        <v>7.9758459126200495E-3</v>
      </c>
      <c r="J35" s="7">
        <v>4.4121700793217303E-4</v>
      </c>
      <c r="K35" s="7">
        <v>2247.82930334612</v>
      </c>
      <c r="L35" s="7">
        <v>2.64922251486596E-2</v>
      </c>
    </row>
    <row r="36" spans="1:12" x14ac:dyDescent="0.3">
      <c r="A36" s="12">
        <v>2024</v>
      </c>
      <c r="B36" s="5" t="s">
        <v>99</v>
      </c>
      <c r="C36" s="5" t="s">
        <v>100</v>
      </c>
      <c r="D36" s="8">
        <v>49.47</v>
      </c>
      <c r="E36" s="8">
        <v>12.8685613003841</v>
      </c>
      <c r="F36" s="8">
        <v>0.180148292551956</v>
      </c>
      <c r="G36" s="8">
        <v>9.9656502262783896E-3</v>
      </c>
      <c r="H36" s="8">
        <v>0.63660772752999994</v>
      </c>
      <c r="I36" s="8">
        <v>8.91193603254525E-3</v>
      </c>
      <c r="J36" s="8">
        <v>4.9300071669399197E-4</v>
      </c>
      <c r="K36" s="8">
        <v>2252.62126490948</v>
      </c>
      <c r="L36" s="8">
        <v>2.1961081860775201E-2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36"/>
  <sheetViews>
    <sheetView workbookViewId="0">
      <pane ySplit="1" topLeftCell="A35" activePane="bottomLeft" state="frozen"/>
      <selection pane="bottomLeft" activeCell="D35" sqref="D35"/>
    </sheetView>
  </sheetViews>
  <sheetFormatPr defaultColWidth="11.5546875" defaultRowHeight="14.4" x14ac:dyDescent="0.3"/>
  <cols>
    <col min="1" max="1" width="4.77734375" customWidth="1"/>
    <col min="2" max="2" width="11.77734375" customWidth="1"/>
    <col min="3" max="3" width="4.109375" customWidth="1"/>
    <col min="4" max="4" width="8.77734375" customWidth="1"/>
    <col min="5" max="7" width="11.77734375" customWidth="1"/>
    <col min="8" max="8" width="8.77734375" customWidth="1"/>
    <col min="9" max="9" width="10.77734375" customWidth="1"/>
    <col min="10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99</v>
      </c>
      <c r="C2" s="13" t="s">
        <v>100</v>
      </c>
      <c r="D2" s="6">
        <v>37.76923</v>
      </c>
      <c r="E2" s="6">
        <v>117.677114412976</v>
      </c>
      <c r="F2" s="6">
        <v>0.35250625972517802</v>
      </c>
      <c r="G2" s="6">
        <v>1.9500344592674999E-2</v>
      </c>
      <c r="H2" s="6">
        <v>4.4445740000000002</v>
      </c>
      <c r="I2" s="6">
        <v>1.331389E-2</v>
      </c>
      <c r="J2" s="6">
        <v>7.3651299999999995E-4</v>
      </c>
      <c r="K2" s="6">
        <v>362.81705649999998</v>
      </c>
      <c r="L2" s="6">
        <v>0.1040999294916</v>
      </c>
    </row>
    <row r="3" spans="1:12" x14ac:dyDescent="0.3">
      <c r="A3" s="11">
        <v>1991</v>
      </c>
      <c r="B3" s="14" t="s">
        <v>99</v>
      </c>
      <c r="C3" s="14" t="s">
        <v>100</v>
      </c>
      <c r="D3" s="7">
        <v>37.76923</v>
      </c>
      <c r="E3" s="7">
        <v>119.319403652126</v>
      </c>
      <c r="F3" s="7">
        <v>0.357425872859997</v>
      </c>
      <c r="G3" s="7">
        <v>1.9772497347708699E-2</v>
      </c>
      <c r="H3" s="7">
        <v>4.506602</v>
      </c>
      <c r="I3" s="7">
        <v>1.34997E-2</v>
      </c>
      <c r="J3" s="7">
        <v>7.4679200000000003E-4</v>
      </c>
      <c r="K3" s="7">
        <v>363.38465300000001</v>
      </c>
      <c r="L3" s="7">
        <v>0.103937328360425</v>
      </c>
    </row>
    <row r="4" spans="1:12" x14ac:dyDescent="0.3">
      <c r="A4" s="11">
        <v>1992</v>
      </c>
      <c r="B4" s="14" t="s">
        <v>99</v>
      </c>
      <c r="C4" s="14" t="s">
        <v>100</v>
      </c>
      <c r="D4" s="7">
        <v>37.76923</v>
      </c>
      <c r="E4" s="7">
        <v>120.963837494172</v>
      </c>
      <c r="F4" s="7">
        <v>0.362351840373765</v>
      </c>
      <c r="G4" s="7">
        <v>2.0044994298268701E-2</v>
      </c>
      <c r="H4" s="7">
        <v>4.5687110000000004</v>
      </c>
      <c r="I4" s="7">
        <v>1.368575E-2</v>
      </c>
      <c r="J4" s="7">
        <v>7.5708399999999999E-4</v>
      </c>
      <c r="K4" s="7">
        <v>363.95231050000001</v>
      </c>
      <c r="L4" s="7">
        <v>0.10377521700058</v>
      </c>
    </row>
    <row r="5" spans="1:12" x14ac:dyDescent="0.3">
      <c r="A5" s="11">
        <v>1993</v>
      </c>
      <c r="B5" s="14" t="s">
        <v>99</v>
      </c>
      <c r="C5" s="14" t="s">
        <v>100</v>
      </c>
      <c r="D5" s="7">
        <v>37.76923</v>
      </c>
      <c r="E5" s="7">
        <v>122.692916959123</v>
      </c>
      <c r="F5" s="7">
        <v>0.367531453513879</v>
      </c>
      <c r="G5" s="7">
        <v>2.0331523835672601E-2</v>
      </c>
      <c r="H5" s="7">
        <v>4.6340170000000001</v>
      </c>
      <c r="I5" s="7">
        <v>1.388138E-2</v>
      </c>
      <c r="J5" s="7">
        <v>7.6790599999999995E-4</v>
      </c>
      <c r="K5" s="7">
        <v>364.51996600000001</v>
      </c>
      <c r="L5" s="7">
        <v>0.103613611112868</v>
      </c>
    </row>
    <row r="6" spans="1:12" x14ac:dyDescent="0.3">
      <c r="A6" s="11">
        <v>1994</v>
      </c>
      <c r="B6" s="14" t="s">
        <v>99</v>
      </c>
      <c r="C6" s="14" t="s">
        <v>100</v>
      </c>
      <c r="D6" s="7">
        <v>37.76923</v>
      </c>
      <c r="E6" s="7">
        <v>124.424432269337</v>
      </c>
      <c r="F6" s="7">
        <v>0.37271821533031002</v>
      </c>
      <c r="G6" s="7">
        <v>2.0618450521760701E-2</v>
      </c>
      <c r="H6" s="7">
        <v>4.6994150000000001</v>
      </c>
      <c r="I6" s="7">
        <v>1.4077279999999999E-2</v>
      </c>
      <c r="J6" s="7">
        <v>7.7874300000000004E-4</v>
      </c>
      <c r="K6" s="7">
        <v>365.087512</v>
      </c>
      <c r="L6" s="7">
        <v>0.103452538798424</v>
      </c>
    </row>
    <row r="7" spans="1:12" x14ac:dyDescent="0.3">
      <c r="A7" s="11">
        <v>1995</v>
      </c>
      <c r="B7" s="14" t="s">
        <v>99</v>
      </c>
      <c r="C7" s="14" t="s">
        <v>100</v>
      </c>
      <c r="D7" s="7">
        <v>37.76923</v>
      </c>
      <c r="E7" s="7">
        <v>126.15838342481401</v>
      </c>
      <c r="F7" s="7">
        <v>0.37791239058884701</v>
      </c>
      <c r="G7" s="7">
        <v>2.0905800833112002E-2</v>
      </c>
      <c r="H7" s="7">
        <v>4.7649049999999997</v>
      </c>
      <c r="I7" s="7">
        <v>1.427346E-2</v>
      </c>
      <c r="J7" s="7">
        <v>7.8959600000000005E-4</v>
      </c>
      <c r="K7" s="7">
        <v>365.65511800000002</v>
      </c>
      <c r="L7" s="7">
        <v>0.10329194954684</v>
      </c>
    </row>
    <row r="8" spans="1:12" x14ac:dyDescent="0.3">
      <c r="A8" s="11">
        <v>1996</v>
      </c>
      <c r="B8" s="14" t="s">
        <v>99</v>
      </c>
      <c r="C8" s="14" t="s">
        <v>100</v>
      </c>
      <c r="D8" s="7">
        <v>37.76923</v>
      </c>
      <c r="E8" s="7">
        <v>127.894770425555</v>
      </c>
      <c r="F8" s="7">
        <v>0.38311371452370102</v>
      </c>
      <c r="G8" s="7">
        <v>2.1193521816568701E-2</v>
      </c>
      <c r="H8" s="7">
        <v>4.8304869999999998</v>
      </c>
      <c r="I8" s="7">
        <v>1.4469910000000001E-2</v>
      </c>
      <c r="J8" s="7">
        <v>8.0046299999999996E-4</v>
      </c>
      <c r="K8" s="7">
        <v>366.22261400000002</v>
      </c>
      <c r="L8" s="7">
        <v>0.103131889064611</v>
      </c>
    </row>
    <row r="9" spans="1:12" x14ac:dyDescent="0.3">
      <c r="A9" s="11">
        <v>1997</v>
      </c>
      <c r="B9" s="14" t="s">
        <v>99</v>
      </c>
      <c r="C9" s="14" t="s">
        <v>100</v>
      </c>
      <c r="D9" s="7">
        <v>37.76923</v>
      </c>
      <c r="E9" s="7">
        <v>129.63359327155999</v>
      </c>
      <c r="F9" s="7">
        <v>0.388322451900661</v>
      </c>
      <c r="G9" s="7">
        <v>2.1481666425288499E-2</v>
      </c>
      <c r="H9" s="7">
        <v>4.8961610000000002</v>
      </c>
      <c r="I9" s="7">
        <v>1.466664E-2</v>
      </c>
      <c r="J9" s="7">
        <v>8.1134600000000001E-4</v>
      </c>
      <c r="K9" s="7">
        <v>366.79017249999998</v>
      </c>
      <c r="L9" s="7">
        <v>0.102972306325901</v>
      </c>
    </row>
    <row r="10" spans="1:12" x14ac:dyDescent="0.3">
      <c r="A10" s="11">
        <v>1998</v>
      </c>
      <c r="B10" s="14" t="s">
        <v>99</v>
      </c>
      <c r="C10" s="14" t="s">
        <v>100</v>
      </c>
      <c r="D10" s="7">
        <v>37.76923</v>
      </c>
      <c r="E10" s="7">
        <v>131.37485196282799</v>
      </c>
      <c r="F10" s="7">
        <v>0.393538337953938</v>
      </c>
      <c r="G10" s="7">
        <v>2.17702081826926E-2</v>
      </c>
      <c r="H10" s="7">
        <v>4.9619270000000002</v>
      </c>
      <c r="I10" s="7">
        <v>1.4863639999999999E-2</v>
      </c>
      <c r="J10" s="7">
        <v>8.2224399999999997E-4</v>
      </c>
      <c r="K10" s="7">
        <v>367.35786100000001</v>
      </c>
      <c r="L10" s="7">
        <v>0.102813180306491</v>
      </c>
    </row>
    <row r="11" spans="1:12" x14ac:dyDescent="0.3">
      <c r="A11" s="11">
        <v>1999</v>
      </c>
      <c r="B11" s="14" t="s">
        <v>99</v>
      </c>
      <c r="C11" s="14" t="s">
        <v>100</v>
      </c>
      <c r="D11" s="7">
        <v>37.76923</v>
      </c>
      <c r="E11" s="7">
        <v>133.11854649935901</v>
      </c>
      <c r="F11" s="7">
        <v>0.39876163744932103</v>
      </c>
      <c r="G11" s="7">
        <v>2.2059147088781001E-2</v>
      </c>
      <c r="H11" s="7">
        <v>5.0277849999999997</v>
      </c>
      <c r="I11" s="7">
        <v>1.506092E-2</v>
      </c>
      <c r="J11" s="7">
        <v>8.3315699999999995E-4</v>
      </c>
      <c r="K11" s="7">
        <v>367.925522</v>
      </c>
      <c r="L11" s="7">
        <v>0.102654553004888</v>
      </c>
    </row>
    <row r="12" spans="1:12" x14ac:dyDescent="0.3">
      <c r="A12" s="11">
        <v>2000</v>
      </c>
      <c r="B12" s="14" t="s">
        <v>99</v>
      </c>
      <c r="C12" s="14" t="s">
        <v>100</v>
      </c>
      <c r="D12" s="7">
        <v>37.76923</v>
      </c>
      <c r="E12" s="7">
        <v>134.864650404575</v>
      </c>
      <c r="F12" s="7">
        <v>0.40399235038680997</v>
      </c>
      <c r="G12" s="7">
        <v>2.2348509620132601E-2</v>
      </c>
      <c r="H12" s="7">
        <v>5.0937340000000004</v>
      </c>
      <c r="I12" s="7">
        <v>1.525848E-2</v>
      </c>
      <c r="J12" s="7">
        <v>8.4408599999999997E-4</v>
      </c>
      <c r="K12" s="7">
        <v>368.493224</v>
      </c>
      <c r="L12" s="7">
        <v>0.102496403027481</v>
      </c>
    </row>
    <row r="13" spans="1:12" x14ac:dyDescent="0.3">
      <c r="A13" s="11">
        <v>2001</v>
      </c>
      <c r="B13" s="14" t="s">
        <v>99</v>
      </c>
      <c r="C13" s="14" t="s">
        <v>100</v>
      </c>
      <c r="D13" s="7">
        <v>37.76923</v>
      </c>
      <c r="E13" s="7">
        <v>136.613216631634</v>
      </c>
      <c r="F13" s="7">
        <v>0.40923021200061499</v>
      </c>
      <c r="G13" s="7">
        <v>2.26382693001684E-2</v>
      </c>
      <c r="H13" s="7">
        <v>5.1597759999999999</v>
      </c>
      <c r="I13" s="7">
        <v>1.5456309999999999E-2</v>
      </c>
      <c r="J13" s="7">
        <v>8.5503E-4</v>
      </c>
      <c r="K13" s="7">
        <v>369.06093449999997</v>
      </c>
      <c r="L13" s="7">
        <v>0.102338737236357</v>
      </c>
    </row>
    <row r="14" spans="1:12" x14ac:dyDescent="0.3">
      <c r="A14" s="11">
        <v>2002</v>
      </c>
      <c r="B14" s="14" t="s">
        <v>99</v>
      </c>
      <c r="C14" s="14" t="s">
        <v>100</v>
      </c>
      <c r="D14" s="7">
        <v>37.76923</v>
      </c>
      <c r="E14" s="7">
        <v>138.364218703956</v>
      </c>
      <c r="F14" s="7">
        <v>0.41447522229073802</v>
      </c>
      <c r="G14" s="7">
        <v>2.2928426128888499E-2</v>
      </c>
      <c r="H14" s="7">
        <v>5.2259099999999998</v>
      </c>
      <c r="I14" s="7">
        <v>1.5654410000000001E-2</v>
      </c>
      <c r="J14" s="7">
        <v>8.6598899999999995E-4</v>
      </c>
      <c r="K14" s="7">
        <v>369.62876649999998</v>
      </c>
      <c r="L14" s="7">
        <v>0.102181522173275</v>
      </c>
    </row>
    <row r="15" spans="1:12" x14ac:dyDescent="0.3">
      <c r="A15" s="11">
        <v>2003</v>
      </c>
      <c r="B15" s="14" t="s">
        <v>99</v>
      </c>
      <c r="C15" s="14" t="s">
        <v>100</v>
      </c>
      <c r="D15" s="7">
        <v>37.76923</v>
      </c>
      <c r="E15" s="7">
        <v>140.11765662154099</v>
      </c>
      <c r="F15" s="7">
        <v>0.41972791078875599</v>
      </c>
      <c r="G15" s="7">
        <v>2.3218980106292898E-2</v>
      </c>
      <c r="H15" s="7">
        <v>5.2921360000000002</v>
      </c>
      <c r="I15" s="7">
        <v>1.58528E-2</v>
      </c>
      <c r="J15" s="7">
        <v>8.7696300000000003E-4</v>
      </c>
      <c r="K15" s="7">
        <v>370.19646299999999</v>
      </c>
      <c r="L15" s="7">
        <v>0.102024826747197</v>
      </c>
    </row>
    <row r="16" spans="1:12" x14ac:dyDescent="0.3">
      <c r="A16" s="11">
        <v>2004</v>
      </c>
      <c r="B16" s="14" t="s">
        <v>99</v>
      </c>
      <c r="C16" s="14" t="s">
        <v>100</v>
      </c>
      <c r="D16" s="7">
        <v>37.76923</v>
      </c>
      <c r="E16" s="7">
        <v>141.873503907811</v>
      </c>
      <c r="F16" s="7">
        <v>0.42498748319730101</v>
      </c>
      <c r="G16" s="7">
        <v>2.3509957708960399E-2</v>
      </c>
      <c r="H16" s="7">
        <v>5.3584529999999999</v>
      </c>
      <c r="I16" s="7">
        <v>1.6051449999999998E-2</v>
      </c>
      <c r="J16" s="7">
        <v>8.8795300000000003E-4</v>
      </c>
      <c r="K16" s="7">
        <v>370.88626449999998</v>
      </c>
      <c r="L16" s="7">
        <v>0.10183507348517599</v>
      </c>
    </row>
    <row r="17" spans="1:12" x14ac:dyDescent="0.3">
      <c r="A17" s="11">
        <v>2005</v>
      </c>
      <c r="B17" s="14" t="s">
        <v>99</v>
      </c>
      <c r="C17" s="14" t="s">
        <v>100</v>
      </c>
      <c r="D17" s="7">
        <v>37.76923</v>
      </c>
      <c r="E17" s="7">
        <v>143.631813515923</v>
      </c>
      <c r="F17" s="7">
        <v>0.43025473381374202</v>
      </c>
      <c r="G17" s="7">
        <v>2.38013324603123E-2</v>
      </c>
      <c r="H17" s="7">
        <v>5.4248630000000002</v>
      </c>
      <c r="I17" s="7">
        <v>1.625039E-2</v>
      </c>
      <c r="J17" s="7">
        <v>8.9895800000000005E-4</v>
      </c>
      <c r="K17" s="7">
        <v>371.57611750000001</v>
      </c>
      <c r="L17" s="7">
        <v>0.10164601065890599</v>
      </c>
    </row>
    <row r="18" spans="1:12" x14ac:dyDescent="0.3">
      <c r="A18" s="11">
        <v>2006</v>
      </c>
      <c r="B18" s="14" t="s">
        <v>99</v>
      </c>
      <c r="C18" s="14" t="s">
        <v>100</v>
      </c>
      <c r="D18" s="7">
        <v>37.76923</v>
      </c>
      <c r="E18" s="7">
        <v>145.39255896929899</v>
      </c>
      <c r="F18" s="7">
        <v>0.43552913310649999</v>
      </c>
      <c r="G18" s="7">
        <v>2.4093104360348401E-2</v>
      </c>
      <c r="H18" s="7">
        <v>5.4913650000000001</v>
      </c>
      <c r="I18" s="7">
        <v>1.6449600000000002E-2</v>
      </c>
      <c r="J18" s="7">
        <v>9.0997799999999998E-4</v>
      </c>
      <c r="K18" s="7">
        <v>372.26597850000002</v>
      </c>
      <c r="L18" s="7">
        <v>0.101457646363996</v>
      </c>
    </row>
    <row r="19" spans="1:12" x14ac:dyDescent="0.3">
      <c r="A19" s="11">
        <v>2007</v>
      </c>
      <c r="B19" s="14" t="s">
        <v>99</v>
      </c>
      <c r="C19" s="14" t="s">
        <v>100</v>
      </c>
      <c r="D19" s="7">
        <v>37.76923</v>
      </c>
      <c r="E19" s="7">
        <v>148.15811707043</v>
      </c>
      <c r="F19" s="7">
        <v>0.44381338989436597</v>
      </c>
      <c r="G19" s="7">
        <v>2.4551387465405E-2</v>
      </c>
      <c r="H19" s="7">
        <v>5.5958180000000004</v>
      </c>
      <c r="I19" s="7">
        <v>1.6762490000000001E-2</v>
      </c>
      <c r="J19" s="7">
        <v>9.2728699999999995E-4</v>
      </c>
      <c r="K19" s="7">
        <v>372.95577200000002</v>
      </c>
      <c r="L19" s="7">
        <v>0.10126999723709899</v>
      </c>
    </row>
    <row r="20" spans="1:12" x14ac:dyDescent="0.3">
      <c r="A20" s="11">
        <v>2008</v>
      </c>
      <c r="B20" s="14" t="s">
        <v>99</v>
      </c>
      <c r="C20" s="14" t="s">
        <v>100</v>
      </c>
      <c r="D20" s="7">
        <v>37.76923</v>
      </c>
      <c r="E20" s="7">
        <v>150.93378922472101</v>
      </c>
      <c r="F20" s="7">
        <v>0.452127829982237</v>
      </c>
      <c r="G20" s="7">
        <v>2.5011338594935598E-2</v>
      </c>
      <c r="H20" s="7">
        <v>5.700653</v>
      </c>
      <c r="I20" s="7">
        <v>1.7076520000000001E-2</v>
      </c>
      <c r="J20" s="7">
        <v>9.4465900000000004E-4</v>
      </c>
      <c r="K20" s="7">
        <v>373.64547800000003</v>
      </c>
      <c r="L20" s="7">
        <v>0.101083064626303</v>
      </c>
    </row>
    <row r="21" spans="1:12" x14ac:dyDescent="0.3">
      <c r="A21" s="11">
        <v>2009</v>
      </c>
      <c r="B21" s="14" t="s">
        <v>99</v>
      </c>
      <c r="C21" s="14" t="s">
        <v>100</v>
      </c>
      <c r="D21" s="7">
        <v>37.76923</v>
      </c>
      <c r="E21" s="7">
        <v>153.71954895559199</v>
      </c>
      <c r="F21" s="7">
        <v>0.46047271813590102</v>
      </c>
      <c r="G21" s="7">
        <v>2.5472957748940098E-2</v>
      </c>
      <c r="H21" s="7">
        <v>5.8058690000000004</v>
      </c>
      <c r="I21" s="7">
        <v>1.73917E-2</v>
      </c>
      <c r="J21" s="7">
        <v>9.6209400000000004E-4</v>
      </c>
      <c r="K21" s="7">
        <v>374.21198550000003</v>
      </c>
      <c r="L21" s="7">
        <v>0.10093003822294699</v>
      </c>
    </row>
    <row r="22" spans="1:12" x14ac:dyDescent="0.3">
      <c r="A22" s="11">
        <v>2010</v>
      </c>
      <c r="B22" s="14" t="s">
        <v>99</v>
      </c>
      <c r="C22" s="14" t="s">
        <v>100</v>
      </c>
      <c r="D22" s="7">
        <v>37.76923</v>
      </c>
      <c r="E22" s="7">
        <v>156.51539626304299</v>
      </c>
      <c r="F22" s="7">
        <v>0.46884778958956802</v>
      </c>
      <c r="G22" s="7">
        <v>2.5936271403997398E-2</v>
      </c>
      <c r="H22" s="7">
        <v>5.9114659999999999</v>
      </c>
      <c r="I22" s="7">
        <v>1.7708020000000001E-2</v>
      </c>
      <c r="J22" s="7">
        <v>9.7959299999999996E-4</v>
      </c>
      <c r="K22" s="7">
        <v>374.77853349999998</v>
      </c>
      <c r="L22" s="7">
        <v>0.100777463552352</v>
      </c>
    </row>
    <row r="23" spans="1:12" x14ac:dyDescent="0.3">
      <c r="A23" s="11">
        <v>2011</v>
      </c>
      <c r="B23" s="14" t="s">
        <v>99</v>
      </c>
      <c r="C23" s="14" t="s">
        <v>100</v>
      </c>
      <c r="D23" s="7">
        <v>37.76923</v>
      </c>
      <c r="E23" s="7">
        <v>159.32133114707401</v>
      </c>
      <c r="F23" s="7">
        <v>0.47725330910902902</v>
      </c>
      <c r="G23" s="7">
        <v>2.64012530835286E-2</v>
      </c>
      <c r="H23" s="7">
        <v>6.0174440000000002</v>
      </c>
      <c r="I23" s="7">
        <v>1.8025490000000002E-2</v>
      </c>
      <c r="J23" s="7">
        <v>9.97155E-4</v>
      </c>
      <c r="K23" s="7">
        <v>375.34505100000001</v>
      </c>
      <c r="L23" s="7">
        <v>0.100625357652578</v>
      </c>
    </row>
    <row r="24" spans="1:12" x14ac:dyDescent="0.3">
      <c r="A24" s="11">
        <v>2012</v>
      </c>
      <c r="B24" s="14" t="s">
        <v>99</v>
      </c>
      <c r="C24" s="14" t="s">
        <v>100</v>
      </c>
      <c r="D24" s="7">
        <v>37.76923</v>
      </c>
      <c r="E24" s="7">
        <v>162.13738008426401</v>
      </c>
      <c r="F24" s="7">
        <v>0.48568874716270399</v>
      </c>
      <c r="G24" s="7">
        <v>2.6867902787533701E-2</v>
      </c>
      <c r="H24" s="7">
        <v>6.1238039999999998</v>
      </c>
      <c r="I24" s="7">
        <v>1.834409E-2</v>
      </c>
      <c r="J24" s="7">
        <v>1.0147800000000001E-3</v>
      </c>
      <c r="K24" s="7">
        <v>375.91185150000001</v>
      </c>
      <c r="L24" s="7">
        <v>0.10047363457494</v>
      </c>
    </row>
    <row r="25" spans="1:12" x14ac:dyDescent="0.3">
      <c r="A25" s="11">
        <v>2013</v>
      </c>
      <c r="B25" s="14" t="s">
        <v>99</v>
      </c>
      <c r="C25" s="14" t="s">
        <v>100</v>
      </c>
      <c r="D25" s="7">
        <v>37.76923</v>
      </c>
      <c r="E25" s="7">
        <v>164.96354307461399</v>
      </c>
      <c r="F25" s="7">
        <v>0.49415463328217202</v>
      </c>
      <c r="G25" s="7">
        <v>2.7336220516012599E-2</v>
      </c>
      <c r="H25" s="7">
        <v>6.2305460000000004</v>
      </c>
      <c r="I25" s="7">
        <v>1.8663840000000001E-2</v>
      </c>
      <c r="J25" s="7">
        <v>1.0324679999999999E-3</v>
      </c>
      <c r="K25" s="7">
        <v>373.3654085</v>
      </c>
      <c r="L25" s="7">
        <v>0.10115888922795099</v>
      </c>
    </row>
    <row r="26" spans="1:12" x14ac:dyDescent="0.3">
      <c r="A26" s="11">
        <v>2014</v>
      </c>
      <c r="B26" s="14" t="s">
        <v>99</v>
      </c>
      <c r="C26" s="14" t="s">
        <v>100</v>
      </c>
      <c r="D26" s="7">
        <v>37.76923</v>
      </c>
      <c r="E26" s="7">
        <v>167.799793641544</v>
      </c>
      <c r="F26" s="7">
        <v>0.50265070270164403</v>
      </c>
      <c r="G26" s="7">
        <v>2.7806206268965499E-2</v>
      </c>
      <c r="H26" s="7">
        <v>6.337669</v>
      </c>
      <c r="I26" s="7">
        <v>1.8984729999999998E-2</v>
      </c>
      <c r="J26" s="7">
        <v>1.050219E-3</v>
      </c>
      <c r="K26" s="7">
        <v>370.81898649999999</v>
      </c>
      <c r="L26" s="7">
        <v>0.101853549508043</v>
      </c>
    </row>
    <row r="27" spans="1:12" x14ac:dyDescent="0.3">
      <c r="A27" s="11">
        <v>2015</v>
      </c>
      <c r="B27" s="14" t="s">
        <v>99</v>
      </c>
      <c r="C27" s="14" t="s">
        <v>100</v>
      </c>
      <c r="D27" s="7">
        <v>37.76923</v>
      </c>
      <c r="E27" s="7">
        <v>169.045463728014</v>
      </c>
      <c r="F27" s="7">
        <v>0.50638204697315803</v>
      </c>
      <c r="G27" s="7">
        <v>2.8012617678464701E-2</v>
      </c>
      <c r="H27" s="7">
        <v>6.3847170000000002</v>
      </c>
      <c r="I27" s="7">
        <v>1.9125659999999999E-2</v>
      </c>
      <c r="J27" s="7">
        <v>1.058015E-3</v>
      </c>
      <c r="K27" s="7">
        <v>368.27265299999999</v>
      </c>
      <c r="L27" s="7">
        <v>0.102557791604472</v>
      </c>
    </row>
    <row r="28" spans="1:12" x14ac:dyDescent="0.3">
      <c r="A28" s="11">
        <v>2016</v>
      </c>
      <c r="B28" s="14" t="s">
        <v>99</v>
      </c>
      <c r="C28" s="14" t="s">
        <v>100</v>
      </c>
      <c r="D28" s="7">
        <v>37.76923</v>
      </c>
      <c r="E28" s="7">
        <v>170.29807067816799</v>
      </c>
      <c r="F28" s="7">
        <v>0.51013430774204305</v>
      </c>
      <c r="G28" s="7">
        <v>2.8220194057437802E-2</v>
      </c>
      <c r="H28" s="7">
        <v>6.4320269999999997</v>
      </c>
      <c r="I28" s="7">
        <v>1.9267380000000001E-2</v>
      </c>
      <c r="J28" s="7">
        <v>1.0658550000000001E-3</v>
      </c>
      <c r="K28" s="7">
        <v>365.72620699999999</v>
      </c>
      <c r="L28" s="7">
        <v>0.10327187190061</v>
      </c>
    </row>
    <row r="29" spans="1:12" x14ac:dyDescent="0.3">
      <c r="A29" s="11">
        <v>2017</v>
      </c>
      <c r="B29" s="14" t="s">
        <v>99</v>
      </c>
      <c r="C29" s="14" t="s">
        <v>100</v>
      </c>
      <c r="D29" s="7">
        <v>37.76923</v>
      </c>
      <c r="E29" s="7">
        <v>171.55764096858701</v>
      </c>
      <c r="F29" s="7">
        <v>0.51390748500829897</v>
      </c>
      <c r="G29" s="7">
        <v>2.8428935405884599E-2</v>
      </c>
      <c r="H29" s="7">
        <v>6.4795999999999996</v>
      </c>
      <c r="I29" s="7">
        <v>1.9409889999999999E-2</v>
      </c>
      <c r="J29" s="7">
        <v>1.073739E-3</v>
      </c>
      <c r="K29" s="7">
        <v>365.24492800000002</v>
      </c>
      <c r="L29" s="7">
        <v>0.103407952046907</v>
      </c>
    </row>
    <row r="30" spans="1:12" x14ac:dyDescent="0.3">
      <c r="A30" s="11">
        <v>2018</v>
      </c>
      <c r="B30" s="14" t="s">
        <v>99</v>
      </c>
      <c r="C30" s="14" t="s">
        <v>100</v>
      </c>
      <c r="D30" s="7">
        <v>37.76923</v>
      </c>
      <c r="E30" s="7">
        <v>172.82417459927001</v>
      </c>
      <c r="F30" s="7">
        <v>0.51770157877192602</v>
      </c>
      <c r="G30" s="7">
        <v>2.8638815247226401E-2</v>
      </c>
      <c r="H30" s="7">
        <v>6.5274359999999998</v>
      </c>
      <c r="I30" s="7">
        <v>1.9553190000000002E-2</v>
      </c>
      <c r="J30" s="7">
        <v>1.081666E-3</v>
      </c>
      <c r="K30" s="7">
        <v>364.76351449999999</v>
      </c>
      <c r="L30" s="7">
        <v>0.10354442946897301</v>
      </c>
    </row>
    <row r="31" spans="1:12" x14ac:dyDescent="0.3">
      <c r="A31" s="11">
        <v>2019</v>
      </c>
      <c r="B31" s="14" t="s">
        <v>99</v>
      </c>
      <c r="C31" s="14" t="s">
        <v>100</v>
      </c>
      <c r="D31" s="7">
        <v>37.76923</v>
      </c>
      <c r="E31" s="7">
        <v>174.09764509363799</v>
      </c>
      <c r="F31" s="7">
        <v>0.52151632426713501</v>
      </c>
      <c r="G31" s="7">
        <v>2.8849833581463001E-2</v>
      </c>
      <c r="H31" s="7">
        <v>6.5755340000000002</v>
      </c>
      <c r="I31" s="7">
        <v>1.9697269999999999E-2</v>
      </c>
      <c r="J31" s="7">
        <v>1.0896359999999999E-3</v>
      </c>
      <c r="K31" s="7">
        <v>364.2821075</v>
      </c>
      <c r="L31" s="7">
        <v>0.103681265761866</v>
      </c>
    </row>
    <row r="32" spans="1:12" x14ac:dyDescent="0.3">
      <c r="A32" s="11">
        <v>2020</v>
      </c>
      <c r="B32" s="14" t="s">
        <v>99</v>
      </c>
      <c r="C32" s="14" t="s">
        <v>100</v>
      </c>
      <c r="D32" s="7">
        <v>37.76923</v>
      </c>
      <c r="E32" s="7">
        <v>175.37807892827001</v>
      </c>
      <c r="F32" s="7">
        <v>0.52535172149392495</v>
      </c>
      <c r="G32" s="7">
        <v>2.90620168851735E-2</v>
      </c>
      <c r="H32" s="7">
        <v>6.6238950000000001</v>
      </c>
      <c r="I32" s="7">
        <v>1.9842129999999999E-2</v>
      </c>
      <c r="J32" s="7">
        <v>1.0976499999999999E-3</v>
      </c>
      <c r="K32" s="7">
        <v>363.80105550000002</v>
      </c>
      <c r="L32" s="7">
        <v>0.103818362890923</v>
      </c>
    </row>
    <row r="33" spans="1:12" x14ac:dyDescent="0.3">
      <c r="A33" s="11">
        <v>2021</v>
      </c>
      <c r="B33" s="14" t="s">
        <v>99</v>
      </c>
      <c r="C33" s="14" t="s">
        <v>100</v>
      </c>
      <c r="D33" s="7">
        <v>37.76923</v>
      </c>
      <c r="E33" s="7">
        <v>176.66544962658801</v>
      </c>
      <c r="F33" s="7">
        <v>0.52920803521808601</v>
      </c>
      <c r="G33" s="7">
        <v>2.9275338681778802E-2</v>
      </c>
      <c r="H33" s="7">
        <v>6.6725180000000002</v>
      </c>
      <c r="I33" s="7">
        <v>1.998778E-2</v>
      </c>
      <c r="J33" s="7">
        <v>1.105707E-3</v>
      </c>
      <c r="K33" s="7">
        <v>362.90842049999998</v>
      </c>
      <c r="L33" s="7">
        <v>0.104073721816548</v>
      </c>
    </row>
    <row r="34" spans="1:12" x14ac:dyDescent="0.3">
      <c r="A34" s="11">
        <v>2022</v>
      </c>
      <c r="B34" s="14" t="s">
        <v>99</v>
      </c>
      <c r="C34" s="14" t="s">
        <v>100</v>
      </c>
      <c r="D34" s="7">
        <v>37.76923</v>
      </c>
      <c r="E34" s="7">
        <v>177.959783665169</v>
      </c>
      <c r="F34" s="7">
        <v>0.53308526543961898</v>
      </c>
      <c r="G34" s="7">
        <v>2.9489825447857901E-2</v>
      </c>
      <c r="H34" s="7">
        <v>6.7214039999999997</v>
      </c>
      <c r="I34" s="7">
        <v>2.0134220000000001E-2</v>
      </c>
      <c r="J34" s="7">
        <v>1.113808E-3</v>
      </c>
      <c r="K34" s="7">
        <v>362.016007</v>
      </c>
      <c r="L34" s="7">
        <v>0.1043302762024</v>
      </c>
    </row>
    <row r="35" spans="1:12" x14ac:dyDescent="0.3">
      <c r="A35" s="11">
        <v>2023</v>
      </c>
      <c r="B35" s="14" t="s">
        <v>99</v>
      </c>
      <c r="C35" s="14" t="s">
        <v>100</v>
      </c>
      <c r="D35" s="7">
        <v>37.76923</v>
      </c>
      <c r="E35" s="7">
        <v>179.64234378090299</v>
      </c>
      <c r="F35" s="7">
        <v>0.53812561177445195</v>
      </c>
      <c r="G35" s="7">
        <v>2.9768650300787201E-2</v>
      </c>
      <c r="H35" s="7">
        <v>6.7849529999999998</v>
      </c>
      <c r="I35" s="7">
        <v>2.032459E-2</v>
      </c>
      <c r="J35" s="7">
        <v>1.124339E-3</v>
      </c>
      <c r="K35" s="7">
        <v>361.12368900000001</v>
      </c>
      <c r="L35" s="7">
        <v>0.10458807093101</v>
      </c>
    </row>
    <row r="36" spans="1:12" x14ac:dyDescent="0.3">
      <c r="A36" s="12">
        <v>2024</v>
      </c>
      <c r="B36" s="5" t="s">
        <v>99</v>
      </c>
      <c r="C36" s="5" t="s">
        <v>100</v>
      </c>
      <c r="D36" s="8">
        <v>37.76923</v>
      </c>
      <c r="E36" s="8">
        <v>181.33329697216499</v>
      </c>
      <c r="F36" s="8">
        <v>0.54319084609349999</v>
      </c>
      <c r="G36" s="8">
        <v>3.00488519358218E-2</v>
      </c>
      <c r="H36" s="8">
        <v>6.8488189999999998</v>
      </c>
      <c r="I36" s="8">
        <v>2.05159E-2</v>
      </c>
      <c r="J36" s="8">
        <v>1.134922E-3</v>
      </c>
      <c r="K36" s="8">
        <v>360.23122949999998</v>
      </c>
      <c r="L36" s="8">
        <v>0.104847183994635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.77734375" customWidth="1"/>
    <col min="2" max="2" width="11.77734375" customWidth="1"/>
    <col min="3" max="3" width="4.109375" customWidth="1"/>
    <col min="4" max="4" width="11.77734375" customWidth="1"/>
    <col min="5" max="5" width="6.77734375" customWidth="1"/>
    <col min="6" max="7" width="11.77734375" customWidth="1"/>
    <col min="8" max="8" width="5" customWidth="1"/>
    <col min="9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99</v>
      </c>
      <c r="C2" s="13" t="s">
        <v>100</v>
      </c>
      <c r="D2" s="6">
        <v>936.01738729534202</v>
      </c>
      <c r="E2" s="6"/>
      <c r="F2" s="6">
        <v>4.3497318438638799E-2</v>
      </c>
      <c r="G2" s="6">
        <v>2.4062346370310799E-3</v>
      </c>
      <c r="H2" s="6"/>
      <c r="I2" s="6">
        <v>4.0714246359288199E-2</v>
      </c>
      <c r="J2" s="6">
        <v>2.2522774581733899E-3</v>
      </c>
      <c r="K2" s="6">
        <v>12200.9700805098</v>
      </c>
      <c r="L2" s="6">
        <v>7.6716636555855894E-2</v>
      </c>
    </row>
    <row r="3" spans="1:12" x14ac:dyDescent="0.3">
      <c r="A3" s="11">
        <v>1991</v>
      </c>
      <c r="B3" s="14" t="s">
        <v>99</v>
      </c>
      <c r="C3" s="14" t="s">
        <v>100</v>
      </c>
      <c r="D3" s="7">
        <v>1574.17494887729</v>
      </c>
      <c r="E3" s="7"/>
      <c r="F3" s="7">
        <v>4.3499198668533197E-2</v>
      </c>
      <c r="G3" s="7">
        <v>2.4063386497486499E-3</v>
      </c>
      <c r="H3" s="7"/>
      <c r="I3" s="7">
        <v>6.8475348840241396E-2</v>
      </c>
      <c r="J3" s="7">
        <v>3.7879980209495302E-3</v>
      </c>
      <c r="K3" s="7">
        <v>12198.864116189699</v>
      </c>
      <c r="L3" s="7">
        <v>0.12904274806931601</v>
      </c>
    </row>
    <row r="4" spans="1:12" x14ac:dyDescent="0.3">
      <c r="A4" s="11">
        <v>1992</v>
      </c>
      <c r="B4" s="14" t="s">
        <v>99</v>
      </c>
      <c r="C4" s="14" t="s">
        <v>100</v>
      </c>
      <c r="D4" s="7">
        <v>1444.5782023562899</v>
      </c>
      <c r="E4" s="7"/>
      <c r="F4" s="7">
        <v>4.3496778335788501E-2</v>
      </c>
      <c r="G4" s="7">
        <v>2.4062047590010698E-3</v>
      </c>
      <c r="H4" s="7"/>
      <c r="I4" s="7">
        <v>6.2834497856603305E-2</v>
      </c>
      <c r="J4" s="7">
        <v>3.47595094525891E-3</v>
      </c>
      <c r="K4" s="7">
        <v>12196.758151869501</v>
      </c>
      <c r="L4" s="7">
        <v>0.118439521745774</v>
      </c>
    </row>
    <row r="5" spans="1:12" x14ac:dyDescent="0.3">
      <c r="A5" s="11">
        <v>1993</v>
      </c>
      <c r="B5" s="14" t="s">
        <v>99</v>
      </c>
      <c r="C5" s="14" t="s">
        <v>100</v>
      </c>
      <c r="D5" s="7">
        <v>223.8</v>
      </c>
      <c r="E5" s="7"/>
      <c r="F5" s="7">
        <v>4.8629177504623297E-2</v>
      </c>
      <c r="G5" s="7">
        <v>2.6901247130217102E-3</v>
      </c>
      <c r="H5" s="7"/>
      <c r="I5" s="7">
        <v>1.0883209925534701E-2</v>
      </c>
      <c r="J5" s="7">
        <v>6.02049910774258E-4</v>
      </c>
      <c r="K5" s="7">
        <v>12194.6521875494</v>
      </c>
      <c r="L5" s="7">
        <v>1.8352306942259301E-2</v>
      </c>
    </row>
    <row r="6" spans="1:12" x14ac:dyDescent="0.3">
      <c r="A6" s="11">
        <v>1994</v>
      </c>
      <c r="B6" s="14" t="s">
        <v>99</v>
      </c>
      <c r="C6" s="14" t="s">
        <v>100</v>
      </c>
      <c r="D6" s="7">
        <v>231.7</v>
      </c>
      <c r="E6" s="7"/>
      <c r="F6" s="7">
        <v>5.1692768924180801E-2</v>
      </c>
      <c r="G6" s="7">
        <v>2.8595999830398002E-3</v>
      </c>
      <c r="H6" s="7"/>
      <c r="I6" s="7">
        <v>1.1977214559732699E-2</v>
      </c>
      <c r="J6" s="7">
        <v>6.6256931607032205E-4</v>
      </c>
      <c r="K6" s="7">
        <v>12192.546223229199</v>
      </c>
      <c r="L6" s="7">
        <v>1.90034137052165E-2</v>
      </c>
    </row>
    <row r="7" spans="1:12" x14ac:dyDescent="0.3">
      <c r="A7" s="11">
        <v>1995</v>
      </c>
      <c r="B7" s="14" t="s">
        <v>99</v>
      </c>
      <c r="C7" s="14" t="s">
        <v>100</v>
      </c>
      <c r="D7" s="7">
        <v>113.1</v>
      </c>
      <c r="E7" s="7"/>
      <c r="F7" s="7">
        <v>4.5196935329377602E-2</v>
      </c>
      <c r="G7" s="7">
        <v>2.5002559969443E-3</v>
      </c>
      <c r="H7" s="7"/>
      <c r="I7" s="7">
        <v>5.1117733857526104E-3</v>
      </c>
      <c r="J7" s="7">
        <v>2.8277895325440003E-4</v>
      </c>
      <c r="K7" s="7">
        <v>12189.8274170691</v>
      </c>
      <c r="L7" s="7">
        <v>9.2782281594593393E-3</v>
      </c>
    </row>
    <row r="8" spans="1:12" x14ac:dyDescent="0.3">
      <c r="A8" s="11">
        <v>1996</v>
      </c>
      <c r="B8" s="14" t="s">
        <v>99</v>
      </c>
      <c r="C8" s="14" t="s">
        <v>100</v>
      </c>
      <c r="D8" s="7">
        <v>513.5</v>
      </c>
      <c r="E8" s="7"/>
      <c r="F8" s="7">
        <v>6.0328829466327602E-2</v>
      </c>
      <c r="G8" s="7">
        <v>3.3373395023926001E-3</v>
      </c>
      <c r="H8" s="7"/>
      <c r="I8" s="7">
        <v>3.0978853930959199E-2</v>
      </c>
      <c r="J8" s="7">
        <v>1.7137238344786E-3</v>
      </c>
      <c r="K8" s="7">
        <v>12186.9253591823</v>
      </c>
      <c r="L8" s="7">
        <v>4.2135320014338201E-2</v>
      </c>
    </row>
    <row r="9" spans="1:12" x14ac:dyDescent="0.3">
      <c r="A9" s="11">
        <v>1997</v>
      </c>
      <c r="B9" s="14" t="s">
        <v>99</v>
      </c>
      <c r="C9" s="14" t="s">
        <v>100</v>
      </c>
      <c r="D9" s="7">
        <v>866.4</v>
      </c>
      <c r="E9" s="7"/>
      <c r="F9" s="7">
        <v>4.4639696062028299E-2</v>
      </c>
      <c r="G9" s="7">
        <v>2.46942999492071E-3</v>
      </c>
      <c r="H9" s="7"/>
      <c r="I9" s="7">
        <v>3.8675832668141299E-2</v>
      </c>
      <c r="J9" s="7">
        <v>2.1395141475992999E-3</v>
      </c>
      <c r="K9" s="7">
        <v>12183.395009661101</v>
      </c>
      <c r="L9" s="7">
        <v>7.1113183091656207E-2</v>
      </c>
    </row>
    <row r="10" spans="1:12" x14ac:dyDescent="0.3">
      <c r="A10" s="11">
        <v>1998</v>
      </c>
      <c r="B10" s="14" t="s">
        <v>99</v>
      </c>
      <c r="C10" s="14" t="s">
        <v>100</v>
      </c>
      <c r="D10" s="7">
        <v>275</v>
      </c>
      <c r="E10" s="7"/>
      <c r="F10" s="7">
        <v>4.89075364430724E-2</v>
      </c>
      <c r="G10" s="7">
        <v>2.70552329259549E-3</v>
      </c>
      <c r="H10" s="7"/>
      <c r="I10" s="7">
        <v>1.3449572521844901E-2</v>
      </c>
      <c r="J10" s="7">
        <v>7.4401890546376E-4</v>
      </c>
      <c r="K10" s="7">
        <v>12180.22064915</v>
      </c>
      <c r="L10" s="7">
        <v>2.2577587707263001E-2</v>
      </c>
    </row>
    <row r="11" spans="1:12" x14ac:dyDescent="0.3">
      <c r="A11" s="11">
        <v>1999</v>
      </c>
      <c r="B11" s="14" t="s">
        <v>99</v>
      </c>
      <c r="C11" s="14" t="s">
        <v>100</v>
      </c>
      <c r="D11" s="7">
        <v>86.1</v>
      </c>
      <c r="E11" s="7"/>
      <c r="F11" s="7">
        <v>3.8117827286793797E-2</v>
      </c>
      <c r="G11" s="7">
        <v>2.10864576480136E-3</v>
      </c>
      <c r="H11" s="7"/>
      <c r="I11" s="7">
        <v>3.2819449293929499E-3</v>
      </c>
      <c r="J11" s="7">
        <v>1.81554400349397E-4</v>
      </c>
      <c r="K11" s="7">
        <v>12176.922118070001</v>
      </c>
      <c r="L11" s="7">
        <v>7.0707522939833503E-3</v>
      </c>
    </row>
    <row r="12" spans="1:12" x14ac:dyDescent="0.3">
      <c r="A12" s="11">
        <v>2000</v>
      </c>
      <c r="B12" s="14" t="s">
        <v>99</v>
      </c>
      <c r="C12" s="14" t="s">
        <v>100</v>
      </c>
      <c r="D12" s="7">
        <v>171.9</v>
      </c>
      <c r="E12" s="7"/>
      <c r="F12" s="7">
        <v>3.9094096701589399E-2</v>
      </c>
      <c r="G12" s="7">
        <v>2.16265215796027E-3</v>
      </c>
      <c r="H12" s="7"/>
      <c r="I12" s="7">
        <v>6.7202752230032196E-3</v>
      </c>
      <c r="J12" s="7">
        <v>3.7175990595336998E-4</v>
      </c>
      <c r="K12" s="7">
        <v>12173.71371079</v>
      </c>
      <c r="L12" s="7">
        <v>1.41205883499329E-2</v>
      </c>
    </row>
    <row r="13" spans="1:12" x14ac:dyDescent="0.3">
      <c r="A13" s="11">
        <v>2001</v>
      </c>
      <c r="B13" s="14" t="s">
        <v>99</v>
      </c>
      <c r="C13" s="14" t="s">
        <v>100</v>
      </c>
      <c r="D13" s="7">
        <v>89.5</v>
      </c>
      <c r="E13" s="7"/>
      <c r="F13" s="7">
        <v>3.4313919850636899E-2</v>
      </c>
      <c r="G13" s="7">
        <v>1.8982168428011801E-3</v>
      </c>
      <c r="H13" s="7"/>
      <c r="I13" s="7">
        <v>3.0710958266320001E-3</v>
      </c>
      <c r="J13" s="7">
        <v>1.69890407430706E-4</v>
      </c>
      <c r="K13" s="7">
        <v>12170.541353029999</v>
      </c>
      <c r="L13" s="7">
        <v>7.3538224310554503E-3</v>
      </c>
    </row>
    <row r="14" spans="1:12" x14ac:dyDescent="0.3">
      <c r="A14" s="11">
        <v>2002</v>
      </c>
      <c r="B14" s="14" t="s">
        <v>99</v>
      </c>
      <c r="C14" s="14" t="s">
        <v>100</v>
      </c>
      <c r="D14" s="7">
        <v>220.5</v>
      </c>
      <c r="E14" s="7"/>
      <c r="F14" s="7">
        <v>5.0327633618838102E-2</v>
      </c>
      <c r="G14" s="7">
        <v>2.78408185976551E-3</v>
      </c>
      <c r="H14" s="7"/>
      <c r="I14" s="7">
        <v>1.10972432129538E-2</v>
      </c>
      <c r="J14" s="7">
        <v>6.1389005007829402E-4</v>
      </c>
      <c r="K14" s="7">
        <v>12168.017886629999</v>
      </c>
      <c r="L14" s="7">
        <v>1.81212751373649E-2</v>
      </c>
    </row>
    <row r="15" spans="1:12" x14ac:dyDescent="0.3">
      <c r="A15" s="11">
        <v>2003</v>
      </c>
      <c r="B15" s="14" t="s">
        <v>99</v>
      </c>
      <c r="C15" s="14" t="s">
        <v>100</v>
      </c>
      <c r="D15" s="7">
        <v>942.4</v>
      </c>
      <c r="E15" s="7"/>
      <c r="F15" s="7">
        <v>3.3503320665509297E-2</v>
      </c>
      <c r="G15" s="7">
        <v>1.8533751857515799E-3</v>
      </c>
      <c r="H15" s="7"/>
      <c r="I15" s="7">
        <v>3.1573529395175999E-2</v>
      </c>
      <c r="J15" s="7">
        <v>1.7466207750522901E-3</v>
      </c>
      <c r="K15" s="7">
        <v>12164.629231749999</v>
      </c>
      <c r="L15" s="7">
        <v>7.7470507489066004E-2</v>
      </c>
    </row>
    <row r="16" spans="1:12" x14ac:dyDescent="0.3">
      <c r="A16" s="11">
        <v>2004</v>
      </c>
      <c r="B16" s="14" t="s">
        <v>99</v>
      </c>
      <c r="C16" s="14" t="s">
        <v>100</v>
      </c>
      <c r="D16" s="7">
        <v>116.9</v>
      </c>
      <c r="E16" s="7"/>
      <c r="F16" s="7">
        <v>4.3598102767123302E-2</v>
      </c>
      <c r="G16" s="7">
        <v>2.4118099403089501E-3</v>
      </c>
      <c r="H16" s="7"/>
      <c r="I16" s="7">
        <v>5.0966182134767101E-3</v>
      </c>
      <c r="J16" s="7">
        <v>2.81940582022116E-4</v>
      </c>
      <c r="K16" s="7">
        <v>12161.38477495</v>
      </c>
      <c r="L16" s="7">
        <v>9.61239218750733E-3</v>
      </c>
    </row>
    <row r="17" spans="1:12" x14ac:dyDescent="0.3">
      <c r="A17" s="11">
        <v>2005</v>
      </c>
      <c r="B17" s="14" t="s">
        <v>99</v>
      </c>
      <c r="C17" s="14" t="s">
        <v>100</v>
      </c>
      <c r="D17" s="7">
        <v>345.6</v>
      </c>
      <c r="E17" s="7"/>
      <c r="F17" s="7">
        <v>4.3316067539071502E-2</v>
      </c>
      <c r="G17" s="7">
        <v>2.3962079915231102E-3</v>
      </c>
      <c r="H17" s="7"/>
      <c r="I17" s="7">
        <v>1.4970032941503101E-2</v>
      </c>
      <c r="J17" s="7">
        <v>8.2812948187038597E-4</v>
      </c>
      <c r="K17" s="7">
        <v>12157.76179819</v>
      </c>
      <c r="L17" s="7">
        <v>2.84262848488652E-2</v>
      </c>
    </row>
    <row r="18" spans="1:12" x14ac:dyDescent="0.3">
      <c r="A18" s="11">
        <v>2006</v>
      </c>
      <c r="B18" s="14" t="s">
        <v>99</v>
      </c>
      <c r="C18" s="14" t="s">
        <v>100</v>
      </c>
      <c r="D18" s="7">
        <v>3828.9</v>
      </c>
      <c r="E18" s="7"/>
      <c r="F18" s="7">
        <v>3.85837263184486E-2</v>
      </c>
      <c r="G18" s="7">
        <v>2.1344189027226899E-3</v>
      </c>
      <c r="H18" s="7"/>
      <c r="I18" s="7">
        <v>0.14773322970070801</v>
      </c>
      <c r="J18" s="7">
        <v>8.1724765366349202E-3</v>
      </c>
      <c r="K18" s="7">
        <v>12153.922524310001</v>
      </c>
      <c r="L18" s="7">
        <v>0.31503409638670299</v>
      </c>
    </row>
    <row r="19" spans="1:12" x14ac:dyDescent="0.3">
      <c r="A19" s="11">
        <v>2007</v>
      </c>
      <c r="B19" s="14" t="s">
        <v>99</v>
      </c>
      <c r="C19" s="14" t="s">
        <v>100</v>
      </c>
      <c r="D19" s="7">
        <v>128.30000000000001</v>
      </c>
      <c r="E19" s="7"/>
      <c r="F19" s="7">
        <v>6.7027835190207594E-2</v>
      </c>
      <c r="G19" s="7">
        <v>3.70792279775616E-3</v>
      </c>
      <c r="H19" s="7"/>
      <c r="I19" s="7">
        <v>8.5996712549036396E-3</v>
      </c>
      <c r="J19" s="7">
        <v>4.7572649495211601E-4</v>
      </c>
      <c r="K19" s="7">
        <v>12150.67605231</v>
      </c>
      <c r="L19" s="7">
        <v>1.05590832516359E-2</v>
      </c>
    </row>
    <row r="20" spans="1:12" x14ac:dyDescent="0.3">
      <c r="A20" s="11">
        <v>2008</v>
      </c>
      <c r="B20" s="14" t="s">
        <v>99</v>
      </c>
      <c r="C20" s="14" t="s">
        <v>100</v>
      </c>
      <c r="D20" s="7">
        <v>3173.8</v>
      </c>
      <c r="E20" s="7"/>
      <c r="F20" s="7">
        <v>5.81660051297073E-2</v>
      </c>
      <c r="G20" s="7">
        <v>3.2176939007923298E-3</v>
      </c>
      <c r="H20" s="7"/>
      <c r="I20" s="7">
        <v>0.18460726708066499</v>
      </c>
      <c r="J20" s="7">
        <v>1.0212316902334701E-2</v>
      </c>
      <c r="K20" s="7">
        <v>12147.80810027</v>
      </c>
      <c r="L20" s="7">
        <v>0.26126524009952501</v>
      </c>
    </row>
    <row r="21" spans="1:12" x14ac:dyDescent="0.3">
      <c r="A21" s="11">
        <v>2009</v>
      </c>
      <c r="B21" s="14" t="s">
        <v>99</v>
      </c>
      <c r="C21" s="14" t="s">
        <v>100</v>
      </c>
      <c r="D21" s="7">
        <v>1328.7</v>
      </c>
      <c r="E21" s="7"/>
      <c r="F21" s="7">
        <v>3.4109033634953601E-2</v>
      </c>
      <c r="G21" s="7">
        <v>1.8868827117208399E-3</v>
      </c>
      <c r="H21" s="7"/>
      <c r="I21" s="7">
        <v>4.5320672990762902E-2</v>
      </c>
      <c r="J21" s="7">
        <v>2.5071010590634801E-3</v>
      </c>
      <c r="K21" s="7">
        <v>12146.05768335</v>
      </c>
      <c r="L21" s="7">
        <v>0.109393519662055</v>
      </c>
    </row>
    <row r="22" spans="1:12" x14ac:dyDescent="0.3">
      <c r="A22" s="11">
        <v>2010</v>
      </c>
      <c r="B22" s="14" t="s">
        <v>99</v>
      </c>
      <c r="C22" s="14" t="s">
        <v>100</v>
      </c>
      <c r="D22" s="7">
        <v>768.7</v>
      </c>
      <c r="E22" s="7"/>
      <c r="F22" s="7">
        <v>6.5207327792186298E-2</v>
      </c>
      <c r="G22" s="7">
        <v>3.6072138778656302E-3</v>
      </c>
      <c r="H22" s="7"/>
      <c r="I22" s="7">
        <v>5.0124872873853601E-2</v>
      </c>
      <c r="J22" s="7">
        <v>2.7728653079153098E-3</v>
      </c>
      <c r="K22" s="7">
        <v>12143.56825127</v>
      </c>
      <c r="L22" s="7">
        <v>6.3300998857531696E-2</v>
      </c>
    </row>
    <row r="23" spans="1:12" x14ac:dyDescent="0.3">
      <c r="A23" s="11">
        <v>2011</v>
      </c>
      <c r="B23" s="14" t="s">
        <v>99</v>
      </c>
      <c r="C23" s="14" t="s">
        <v>100</v>
      </c>
      <c r="D23" s="7">
        <v>121.2</v>
      </c>
      <c r="E23" s="7"/>
      <c r="F23" s="7">
        <v>5.7609476257536103E-2</v>
      </c>
      <c r="G23" s="7">
        <v>3.1869071972254002E-3</v>
      </c>
      <c r="H23" s="7"/>
      <c r="I23" s="7">
        <v>6.9822685224133797E-3</v>
      </c>
      <c r="J23" s="7">
        <v>3.8625315230371898E-4</v>
      </c>
      <c r="K23" s="7">
        <v>12144.36004929</v>
      </c>
      <c r="L23" s="7">
        <v>9.9799412655824302E-3</v>
      </c>
    </row>
    <row r="24" spans="1:12" x14ac:dyDescent="0.3">
      <c r="A24" s="11">
        <v>2012</v>
      </c>
      <c r="B24" s="14" t="s">
        <v>99</v>
      </c>
      <c r="C24" s="14" t="s">
        <v>100</v>
      </c>
      <c r="D24" s="7">
        <v>60</v>
      </c>
      <c r="E24" s="7"/>
      <c r="F24" s="7">
        <v>4.94993430044555E-2</v>
      </c>
      <c r="G24" s="7">
        <v>2.7382615279060501E-3</v>
      </c>
      <c r="H24" s="7"/>
      <c r="I24" s="7">
        <v>2.9699605802673301E-3</v>
      </c>
      <c r="J24" s="7">
        <v>1.6429569167436301E-4</v>
      </c>
      <c r="K24" s="7">
        <v>12145.38818439</v>
      </c>
      <c r="L24" s="7">
        <v>4.9401467527498003E-3</v>
      </c>
    </row>
    <row r="25" spans="1:12" x14ac:dyDescent="0.3">
      <c r="A25" s="11">
        <v>2013</v>
      </c>
      <c r="B25" s="14" t="s">
        <v>99</v>
      </c>
      <c r="C25" s="14" t="s">
        <v>100</v>
      </c>
      <c r="D25" s="7">
        <v>46.4</v>
      </c>
      <c r="E25" s="7"/>
      <c r="F25" s="7">
        <v>4.61468395290517E-2</v>
      </c>
      <c r="G25" s="7">
        <v>2.5528038888411602E-3</v>
      </c>
      <c r="H25" s="7"/>
      <c r="I25" s="7">
        <v>2.1412133541479999E-3</v>
      </c>
      <c r="J25" s="7">
        <v>1.1845010044223001E-4</v>
      </c>
      <c r="K25" s="7">
        <v>12146.398294729999</v>
      </c>
      <c r="L25" s="7">
        <v>3.8200624476583899E-3</v>
      </c>
    </row>
    <row r="26" spans="1:12" x14ac:dyDescent="0.3">
      <c r="A26" s="11">
        <v>2014</v>
      </c>
      <c r="B26" s="14" t="s">
        <v>99</v>
      </c>
      <c r="C26" s="14" t="s">
        <v>100</v>
      </c>
      <c r="D26" s="7">
        <v>769.4</v>
      </c>
      <c r="E26" s="7"/>
      <c r="F26" s="7">
        <v>3.6691698089293297E-2</v>
      </c>
      <c r="G26" s="7">
        <v>2.0297535113226002E-3</v>
      </c>
      <c r="H26" s="7"/>
      <c r="I26" s="7">
        <v>2.82305925099023E-2</v>
      </c>
      <c r="J26" s="7">
        <v>1.56169235161161E-3</v>
      </c>
      <c r="K26" s="7">
        <v>12145.858275709999</v>
      </c>
      <c r="L26" s="7">
        <v>6.3346696670970606E-2</v>
      </c>
    </row>
    <row r="27" spans="1:12" x14ac:dyDescent="0.3">
      <c r="A27" s="11">
        <v>2015</v>
      </c>
      <c r="B27" s="14" t="s">
        <v>99</v>
      </c>
      <c r="C27" s="14" t="s">
        <v>100</v>
      </c>
      <c r="D27" s="7">
        <v>143.6</v>
      </c>
      <c r="E27" s="7"/>
      <c r="F27" s="7">
        <v>3.24344396755211E-2</v>
      </c>
      <c r="G27" s="7">
        <v>1.79424559907138E-3</v>
      </c>
      <c r="H27" s="7"/>
      <c r="I27" s="7">
        <v>4.6575855374048304E-3</v>
      </c>
      <c r="J27" s="7">
        <v>2.5765366802665E-4</v>
      </c>
      <c r="K27" s="7">
        <v>12143.804365190001</v>
      </c>
      <c r="L27" s="7">
        <v>1.18249599286717E-2</v>
      </c>
    </row>
    <row r="28" spans="1:12" x14ac:dyDescent="0.3">
      <c r="A28" s="11">
        <v>2016</v>
      </c>
      <c r="B28" s="14" t="s">
        <v>99</v>
      </c>
      <c r="C28" s="14" t="s">
        <v>100</v>
      </c>
      <c r="D28" s="7">
        <v>515.70000000000005</v>
      </c>
      <c r="E28" s="7"/>
      <c r="F28" s="7">
        <v>3.8508306305085102E-2</v>
      </c>
      <c r="G28" s="7">
        <v>2.1302467317706598E-3</v>
      </c>
      <c r="H28" s="7"/>
      <c r="I28" s="7">
        <v>1.98587335615324E-2</v>
      </c>
      <c r="J28" s="7">
        <v>1.0985682395741299E-3</v>
      </c>
      <c r="K28" s="7">
        <v>12140.28972533</v>
      </c>
      <c r="L28" s="7">
        <v>4.2478393157621502E-2</v>
      </c>
    </row>
    <row r="29" spans="1:12" x14ac:dyDescent="0.3">
      <c r="A29" s="11">
        <v>2017</v>
      </c>
      <c r="B29" s="14" t="s">
        <v>99</v>
      </c>
      <c r="C29" s="14" t="s">
        <v>100</v>
      </c>
      <c r="D29" s="7">
        <v>428.5</v>
      </c>
      <c r="E29" s="7"/>
      <c r="F29" s="7">
        <v>3.7839303577436201E-2</v>
      </c>
      <c r="G29" s="7">
        <v>2.09323807024115E-3</v>
      </c>
      <c r="H29" s="7"/>
      <c r="I29" s="7">
        <v>1.6214141582931399E-2</v>
      </c>
      <c r="J29" s="7">
        <v>8.9695251309833304E-4</v>
      </c>
      <c r="K29" s="7">
        <v>12137.26175399</v>
      </c>
      <c r="L29" s="7">
        <v>3.5304503493890201E-2</v>
      </c>
    </row>
    <row r="30" spans="1:12" x14ac:dyDescent="0.3">
      <c r="A30" s="11">
        <v>2018</v>
      </c>
      <c r="B30" s="14" t="s">
        <v>99</v>
      </c>
      <c r="C30" s="14" t="s">
        <v>100</v>
      </c>
      <c r="D30" s="7">
        <v>1996.2</v>
      </c>
      <c r="E30" s="7"/>
      <c r="F30" s="7">
        <v>4.0881364114173098E-2</v>
      </c>
      <c r="G30" s="7">
        <v>2.2615222701457501E-3</v>
      </c>
      <c r="H30" s="7"/>
      <c r="I30" s="7">
        <v>8.1607379044712394E-2</v>
      </c>
      <c r="J30" s="7">
        <v>4.5144507556649401E-3</v>
      </c>
      <c r="K30" s="7">
        <v>12134.502743409999</v>
      </c>
      <c r="L30" s="7">
        <v>0.16450612292984901</v>
      </c>
    </row>
    <row r="31" spans="1:12" x14ac:dyDescent="0.3">
      <c r="A31" s="11">
        <v>2019</v>
      </c>
      <c r="B31" s="14" t="s">
        <v>99</v>
      </c>
      <c r="C31" s="14" t="s">
        <v>100</v>
      </c>
      <c r="D31" s="7">
        <v>2278.4</v>
      </c>
      <c r="E31" s="7"/>
      <c r="F31" s="7">
        <v>3.2723287194179697E-2</v>
      </c>
      <c r="G31" s="7">
        <v>1.8102243979759001E-3</v>
      </c>
      <c r="H31" s="7"/>
      <c r="I31" s="7">
        <v>7.4556737543218995E-2</v>
      </c>
      <c r="J31" s="7">
        <v>4.12441526834829E-3</v>
      </c>
      <c r="K31" s="7">
        <v>12132.19435183</v>
      </c>
      <c r="L31" s="7">
        <v>0.187797848759019</v>
      </c>
    </row>
    <row r="32" spans="1:12" x14ac:dyDescent="0.3">
      <c r="A32" s="11">
        <v>2020</v>
      </c>
      <c r="B32" s="14" t="s">
        <v>99</v>
      </c>
      <c r="C32" s="14" t="s">
        <v>100</v>
      </c>
      <c r="D32" s="7">
        <v>363</v>
      </c>
      <c r="E32" s="7"/>
      <c r="F32" s="7">
        <v>3.9835747846357003E-2</v>
      </c>
      <c r="G32" s="7">
        <v>2.20367966809635E-3</v>
      </c>
      <c r="H32" s="7"/>
      <c r="I32" s="7">
        <v>1.44603764682276E-2</v>
      </c>
      <c r="J32" s="7">
        <v>7.9993571951897499E-4</v>
      </c>
      <c r="K32" s="7">
        <v>12131.94059455</v>
      </c>
      <c r="L32" s="7">
        <v>2.9921016936323399E-2</v>
      </c>
    </row>
    <row r="33" spans="1:12" x14ac:dyDescent="0.3">
      <c r="A33" s="11">
        <v>2021</v>
      </c>
      <c r="B33" s="14" t="s">
        <v>99</v>
      </c>
      <c r="C33" s="14" t="s">
        <v>100</v>
      </c>
      <c r="D33" s="7">
        <v>653.20000000000005</v>
      </c>
      <c r="E33" s="7"/>
      <c r="F33" s="7">
        <v>4.6706353047232599E-2</v>
      </c>
      <c r="G33" s="7">
        <v>2.5837557004852098E-3</v>
      </c>
      <c r="H33" s="7"/>
      <c r="I33" s="7">
        <v>3.0508589810452302E-2</v>
      </c>
      <c r="J33" s="7">
        <v>1.68770922355694E-3</v>
      </c>
      <c r="K33" s="7">
        <v>12132.417201939999</v>
      </c>
      <c r="L33" s="7">
        <v>5.3839229984240199E-2</v>
      </c>
    </row>
    <row r="34" spans="1:12" x14ac:dyDescent="0.3">
      <c r="A34" s="11">
        <v>2022</v>
      </c>
      <c r="B34" s="14" t="s">
        <v>99</v>
      </c>
      <c r="C34" s="14" t="s">
        <v>100</v>
      </c>
      <c r="D34" s="7">
        <v>2457</v>
      </c>
      <c r="E34" s="7"/>
      <c r="F34" s="7">
        <v>4.3868592162836798E-2</v>
      </c>
      <c r="G34" s="7">
        <v>2.4267731834760799E-3</v>
      </c>
      <c r="H34" s="7"/>
      <c r="I34" s="7">
        <v>0.10778513094408999</v>
      </c>
      <c r="J34" s="7">
        <v>5.9625817118007301E-3</v>
      </c>
      <c r="K34" s="7">
        <v>12132.650475070001</v>
      </c>
      <c r="L34" s="7">
        <v>0.20251139724568901</v>
      </c>
    </row>
    <row r="35" spans="1:12" x14ac:dyDescent="0.3">
      <c r="A35" s="11">
        <v>2023</v>
      </c>
      <c r="B35" s="14" t="s">
        <v>99</v>
      </c>
      <c r="C35" s="14" t="s">
        <v>100</v>
      </c>
      <c r="D35" s="7">
        <v>1761.7</v>
      </c>
      <c r="E35" s="7"/>
      <c r="F35" s="7">
        <v>6.2490450593832098E-2</v>
      </c>
      <c r="G35" s="7">
        <v>3.4569185434885998E-3</v>
      </c>
      <c r="H35" s="7"/>
      <c r="I35" s="7">
        <v>0.110089426811154</v>
      </c>
      <c r="J35" s="7">
        <v>6.0900533980638603E-3</v>
      </c>
      <c r="K35" s="7">
        <v>12132.74926782</v>
      </c>
      <c r="L35" s="7">
        <v>0.14520204457472799</v>
      </c>
    </row>
    <row r="36" spans="1:12" x14ac:dyDescent="0.3">
      <c r="A36" s="12">
        <v>2024</v>
      </c>
      <c r="B36" s="5" t="s">
        <v>99</v>
      </c>
      <c r="C36" s="5" t="s">
        <v>100</v>
      </c>
      <c r="D36" s="8">
        <v>426.6</v>
      </c>
      <c r="E36" s="8"/>
      <c r="F36" s="8">
        <v>4.5894915374217499E-2</v>
      </c>
      <c r="G36" s="8">
        <v>2.5388676589992699E-3</v>
      </c>
      <c r="H36" s="8"/>
      <c r="I36" s="8">
        <v>1.9578770898641198E-2</v>
      </c>
      <c r="J36" s="8">
        <v>1.0830809433290899E-3</v>
      </c>
      <c r="K36" s="8">
        <v>12132.622751069999</v>
      </c>
      <c r="L36" s="8">
        <v>3.5161399868167603E-2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.77734375" customWidth="1"/>
    <col min="2" max="2" width="11.77734375" customWidth="1"/>
    <col min="3" max="3" width="4.109375" customWidth="1"/>
    <col min="4" max="4" width="7.77734375" customWidth="1"/>
    <col min="5" max="7" width="6.77734375" customWidth="1"/>
    <col min="8" max="8" width="5" customWidth="1"/>
    <col min="9" max="10" width="11.77734375" customWidth="1"/>
    <col min="11" max="11" width="10.77734375" customWidth="1"/>
    <col min="12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99</v>
      </c>
      <c r="C2" s="13" t="s">
        <v>100</v>
      </c>
      <c r="D2" s="6">
        <v>7341</v>
      </c>
      <c r="E2" s="6"/>
      <c r="F2" s="6"/>
      <c r="G2" s="6"/>
      <c r="H2" s="6"/>
      <c r="I2" s="6">
        <v>1.6303531216009499</v>
      </c>
      <c r="J2" s="6">
        <v>9.0189747152392905E-2</v>
      </c>
      <c r="K2" s="6">
        <v>8690.7240000000002</v>
      </c>
      <c r="L2" s="6">
        <v>0.84469372171984702</v>
      </c>
    </row>
    <row r="3" spans="1:12" x14ac:dyDescent="0.3">
      <c r="A3" s="11">
        <v>1991</v>
      </c>
      <c r="B3" s="14" t="s">
        <v>99</v>
      </c>
      <c r="C3" s="14" t="s">
        <v>100</v>
      </c>
      <c r="D3" s="7">
        <v>2567</v>
      </c>
      <c r="E3" s="7"/>
      <c r="F3" s="7"/>
      <c r="G3" s="7"/>
      <c r="H3" s="7"/>
      <c r="I3" s="7">
        <v>0.586725784085253</v>
      </c>
      <c r="J3" s="7">
        <v>3.2457171034503303E-2</v>
      </c>
      <c r="K3" s="7">
        <v>8703.1239999999998</v>
      </c>
      <c r="L3" s="7">
        <v>0.29495155992262101</v>
      </c>
    </row>
    <row r="4" spans="1:12" x14ac:dyDescent="0.3">
      <c r="A4" s="11">
        <v>1992</v>
      </c>
      <c r="B4" s="14" t="s">
        <v>99</v>
      </c>
      <c r="C4" s="14" t="s">
        <v>100</v>
      </c>
      <c r="D4" s="7">
        <v>43755</v>
      </c>
      <c r="E4" s="7"/>
      <c r="F4" s="7"/>
      <c r="G4" s="7"/>
      <c r="H4" s="7"/>
      <c r="I4" s="7">
        <v>9.8720014876210094</v>
      </c>
      <c r="J4" s="7">
        <v>0.54611072059179999</v>
      </c>
      <c r="K4" s="7">
        <v>8715.0239999999994</v>
      </c>
      <c r="L4" s="7">
        <v>5.0206402185467303</v>
      </c>
    </row>
    <row r="5" spans="1:12" x14ac:dyDescent="0.3">
      <c r="A5" s="11">
        <v>1993</v>
      </c>
      <c r="B5" s="14" t="s">
        <v>99</v>
      </c>
      <c r="C5" s="14" t="s">
        <v>100</v>
      </c>
      <c r="D5" s="7">
        <v>8290</v>
      </c>
      <c r="E5" s="7"/>
      <c r="F5" s="7"/>
      <c r="G5" s="7"/>
      <c r="H5" s="7"/>
      <c r="I5" s="7">
        <v>1.74394145037127</v>
      </c>
      <c r="J5" s="7">
        <v>9.6473356829049006E-2</v>
      </c>
      <c r="K5" s="7">
        <v>8715.0239999999994</v>
      </c>
      <c r="L5" s="7">
        <v>0.95123088588166804</v>
      </c>
    </row>
    <row r="6" spans="1:12" x14ac:dyDescent="0.3">
      <c r="A6" s="11">
        <v>1994</v>
      </c>
      <c r="B6" s="14" t="s">
        <v>99</v>
      </c>
      <c r="C6" s="14" t="s">
        <v>100</v>
      </c>
      <c r="D6" s="7">
        <v>9171</v>
      </c>
      <c r="E6" s="7"/>
      <c r="F6" s="7"/>
      <c r="G6" s="7"/>
      <c r="H6" s="7"/>
      <c r="I6" s="7">
        <v>1.85511450438294</v>
      </c>
      <c r="J6" s="7">
        <v>0.10262335556160899</v>
      </c>
      <c r="K6" s="7">
        <v>8724.2170000000006</v>
      </c>
      <c r="L6" s="7">
        <v>1.0512118164873701</v>
      </c>
    </row>
    <row r="7" spans="1:12" x14ac:dyDescent="0.3">
      <c r="A7" s="11">
        <v>1995</v>
      </c>
      <c r="B7" s="14" t="s">
        <v>99</v>
      </c>
      <c r="C7" s="14" t="s">
        <v>100</v>
      </c>
      <c r="D7" s="7">
        <v>5306</v>
      </c>
      <c r="E7" s="7"/>
      <c r="F7" s="7"/>
      <c r="G7" s="7"/>
      <c r="H7" s="7"/>
      <c r="I7" s="7">
        <v>1.08741560625386</v>
      </c>
      <c r="J7" s="7">
        <v>6.0154905877873102E-2</v>
      </c>
      <c r="K7" s="7">
        <v>8741.5300000000007</v>
      </c>
      <c r="L7" s="7">
        <v>0.606987563961915</v>
      </c>
    </row>
    <row r="8" spans="1:12" x14ac:dyDescent="0.3">
      <c r="A8" s="11">
        <v>1996</v>
      </c>
      <c r="B8" s="14" t="s">
        <v>99</v>
      </c>
      <c r="C8" s="14" t="s">
        <v>100</v>
      </c>
      <c r="D8" s="7">
        <v>14120</v>
      </c>
      <c r="E8" s="7"/>
      <c r="F8" s="7"/>
      <c r="G8" s="7"/>
      <c r="H8" s="7"/>
      <c r="I8" s="7">
        <v>2.9268295160789899</v>
      </c>
      <c r="J8" s="7">
        <v>0.16190971791075301</v>
      </c>
      <c r="K8" s="7">
        <v>8778.7060000000001</v>
      </c>
      <c r="L8" s="7">
        <v>1.60843750776026</v>
      </c>
    </row>
    <row r="9" spans="1:12" x14ac:dyDescent="0.3">
      <c r="A9" s="11">
        <v>1997</v>
      </c>
      <c r="B9" s="14" t="s">
        <v>99</v>
      </c>
      <c r="C9" s="14" t="s">
        <v>100</v>
      </c>
      <c r="D9" s="7">
        <v>6598</v>
      </c>
      <c r="E9" s="7"/>
      <c r="F9" s="7"/>
      <c r="G9" s="7"/>
      <c r="H9" s="7"/>
      <c r="I9" s="7">
        <v>1.35286014719656</v>
      </c>
      <c r="J9" s="7">
        <v>7.4839071972575902E-2</v>
      </c>
      <c r="K9" s="7">
        <v>8809.4290000000001</v>
      </c>
      <c r="L9" s="7">
        <v>0.74897022270115399</v>
      </c>
    </row>
    <row r="10" spans="1:12" x14ac:dyDescent="0.3">
      <c r="A10" s="11">
        <v>1998</v>
      </c>
      <c r="B10" s="14" t="s">
        <v>99</v>
      </c>
      <c r="C10" s="14" t="s">
        <v>100</v>
      </c>
      <c r="D10" s="7">
        <v>4019</v>
      </c>
      <c r="E10" s="7"/>
      <c r="F10" s="7"/>
      <c r="G10" s="7"/>
      <c r="H10" s="7"/>
      <c r="I10" s="7">
        <v>0.83057967554207002</v>
      </c>
      <c r="J10" s="7">
        <v>4.59469607746677E-2</v>
      </c>
      <c r="K10" s="7">
        <v>8861.2450000000008</v>
      </c>
      <c r="L10" s="7">
        <v>0.45354800595175998</v>
      </c>
    </row>
    <row r="11" spans="1:12" x14ac:dyDescent="0.3">
      <c r="A11" s="11">
        <v>1999</v>
      </c>
      <c r="B11" s="14" t="s">
        <v>99</v>
      </c>
      <c r="C11" s="14" t="s">
        <v>100</v>
      </c>
      <c r="D11" s="7">
        <v>8307</v>
      </c>
      <c r="E11" s="7"/>
      <c r="F11" s="7"/>
      <c r="G11" s="7"/>
      <c r="H11" s="7"/>
      <c r="I11" s="7">
        <v>1.65864321234206</v>
      </c>
      <c r="J11" s="7">
        <v>9.1754730895518E-2</v>
      </c>
      <c r="K11" s="7">
        <v>8877.1419999999998</v>
      </c>
      <c r="L11" s="7">
        <v>0.93577414893216804</v>
      </c>
    </row>
    <row r="12" spans="1:12" x14ac:dyDescent="0.3">
      <c r="A12" s="11">
        <v>2000</v>
      </c>
      <c r="B12" s="14" t="s">
        <v>99</v>
      </c>
      <c r="C12" s="14" t="s">
        <v>100</v>
      </c>
      <c r="D12" s="7">
        <v>7013</v>
      </c>
      <c r="E12" s="7"/>
      <c r="F12" s="7"/>
      <c r="G12" s="7"/>
      <c r="H12" s="7"/>
      <c r="I12" s="7">
        <v>1.4129989066191599</v>
      </c>
      <c r="J12" s="7">
        <v>7.8165896961910897E-2</v>
      </c>
      <c r="K12" s="7">
        <v>8903.5550000000003</v>
      </c>
      <c r="L12" s="7">
        <v>0.78766290543496398</v>
      </c>
    </row>
    <row r="13" spans="1:12" x14ac:dyDescent="0.3">
      <c r="A13" s="11">
        <v>2001</v>
      </c>
      <c r="B13" s="14" t="s">
        <v>99</v>
      </c>
      <c r="C13" s="14" t="s">
        <v>100</v>
      </c>
      <c r="D13" s="7">
        <v>3429</v>
      </c>
      <c r="E13" s="7"/>
      <c r="F13" s="7"/>
      <c r="G13" s="7"/>
      <c r="H13" s="7"/>
      <c r="I13" s="7">
        <v>0.68249518603249704</v>
      </c>
      <c r="J13" s="7">
        <v>3.7755052844350899E-2</v>
      </c>
      <c r="K13" s="7">
        <v>8915.6290000000008</v>
      </c>
      <c r="L13" s="7">
        <v>0.38460550567996898</v>
      </c>
    </row>
    <row r="14" spans="1:12" x14ac:dyDescent="0.3">
      <c r="A14" s="11">
        <v>2002</v>
      </c>
      <c r="B14" s="14" t="s">
        <v>99</v>
      </c>
      <c r="C14" s="14" t="s">
        <v>100</v>
      </c>
      <c r="D14" s="7">
        <v>5200</v>
      </c>
      <c r="E14" s="7"/>
      <c r="F14" s="7"/>
      <c r="G14" s="7"/>
      <c r="H14" s="7"/>
      <c r="I14" s="7">
        <v>1.04179015641787</v>
      </c>
      <c r="J14" s="7">
        <v>5.76309448231161E-2</v>
      </c>
      <c r="K14" s="7">
        <v>8968.1569999999992</v>
      </c>
      <c r="L14" s="7">
        <v>0.57982927818948804</v>
      </c>
    </row>
    <row r="15" spans="1:12" x14ac:dyDescent="0.3">
      <c r="A15" s="11">
        <v>2003</v>
      </c>
      <c r="B15" s="14" t="s">
        <v>99</v>
      </c>
      <c r="C15" s="14" t="s">
        <v>100</v>
      </c>
      <c r="D15" s="7">
        <v>21500</v>
      </c>
      <c r="E15" s="7"/>
      <c r="F15" s="7"/>
      <c r="G15" s="7"/>
      <c r="H15" s="7"/>
      <c r="I15" s="7">
        <v>4.2740410632827297</v>
      </c>
      <c r="J15" s="7">
        <v>0.23643631413904501</v>
      </c>
      <c r="K15" s="7">
        <v>9031.0889999999999</v>
      </c>
      <c r="L15" s="7">
        <v>2.3806652774654302</v>
      </c>
    </row>
    <row r="16" spans="1:12" x14ac:dyDescent="0.3">
      <c r="A16" s="11">
        <v>2004</v>
      </c>
      <c r="B16" s="14" t="s">
        <v>99</v>
      </c>
      <c r="C16" s="14" t="s">
        <v>100</v>
      </c>
      <c r="D16" s="7">
        <v>3781</v>
      </c>
      <c r="E16" s="7"/>
      <c r="F16" s="7"/>
      <c r="G16" s="7"/>
      <c r="H16" s="7"/>
      <c r="I16" s="7">
        <v>0.76420394888474696</v>
      </c>
      <c r="J16" s="7">
        <v>4.2275112065964703E-2</v>
      </c>
      <c r="K16" s="7">
        <v>9106.3649999999998</v>
      </c>
      <c r="L16" s="7">
        <v>0.41520409076508602</v>
      </c>
    </row>
    <row r="17" spans="1:12" x14ac:dyDescent="0.3">
      <c r="A17" s="11">
        <v>2005</v>
      </c>
      <c r="B17" s="14" t="s">
        <v>99</v>
      </c>
      <c r="C17" s="14" t="s">
        <v>100</v>
      </c>
      <c r="D17" s="7">
        <v>5826</v>
      </c>
      <c r="E17" s="7"/>
      <c r="F17" s="7"/>
      <c r="G17" s="7"/>
      <c r="H17" s="7"/>
      <c r="I17" s="7">
        <v>1.16104753014896</v>
      </c>
      <c r="J17" s="7">
        <v>6.4228161242283199E-2</v>
      </c>
      <c r="K17" s="7">
        <v>9152.9050000000007</v>
      </c>
      <c r="L17" s="7">
        <v>0.63651922531698901</v>
      </c>
    </row>
    <row r="18" spans="1:12" x14ac:dyDescent="0.3">
      <c r="A18" s="11">
        <v>2006</v>
      </c>
      <c r="B18" s="14" t="s">
        <v>99</v>
      </c>
      <c r="C18" s="14" t="s">
        <v>100</v>
      </c>
      <c r="D18" s="7">
        <v>5912</v>
      </c>
      <c r="E18" s="7"/>
      <c r="F18" s="7"/>
      <c r="G18" s="7"/>
      <c r="H18" s="7"/>
      <c r="I18" s="7">
        <v>1.17998903707067</v>
      </c>
      <c r="J18" s="7">
        <v>6.5275989284760499E-2</v>
      </c>
      <c r="K18" s="7">
        <v>9164.0840000000007</v>
      </c>
      <c r="L18" s="7">
        <v>0.64512721620622404</v>
      </c>
    </row>
    <row r="19" spans="1:12" x14ac:dyDescent="0.3">
      <c r="A19" s="11">
        <v>2007</v>
      </c>
      <c r="B19" s="14" t="s">
        <v>99</v>
      </c>
      <c r="C19" s="14" t="s">
        <v>100</v>
      </c>
      <c r="D19" s="7">
        <v>3564</v>
      </c>
      <c r="E19" s="7"/>
      <c r="F19" s="7"/>
      <c r="G19" s="7"/>
      <c r="H19" s="7"/>
      <c r="I19" s="7">
        <v>0.70177284264325301</v>
      </c>
      <c r="J19" s="7">
        <v>3.8821476401541703E-2</v>
      </c>
      <c r="K19" s="7">
        <v>9224.11</v>
      </c>
      <c r="L19" s="7">
        <v>0.38637874006272699</v>
      </c>
    </row>
    <row r="20" spans="1:12" x14ac:dyDescent="0.3">
      <c r="A20" s="11">
        <v>2008</v>
      </c>
      <c r="B20" s="14" t="s">
        <v>99</v>
      </c>
      <c r="C20" s="14" t="s">
        <v>100</v>
      </c>
      <c r="D20" s="7">
        <v>3028</v>
      </c>
      <c r="E20" s="7"/>
      <c r="F20" s="7"/>
      <c r="G20" s="7"/>
      <c r="H20" s="7"/>
      <c r="I20" s="7">
        <v>0.60588667333490098</v>
      </c>
      <c r="J20" s="7">
        <v>3.3517135120654101E-2</v>
      </c>
      <c r="K20" s="7">
        <v>9251.4030000000002</v>
      </c>
      <c r="L20" s="7">
        <v>0.32730170764369498</v>
      </c>
    </row>
    <row r="21" spans="1:12" x14ac:dyDescent="0.3">
      <c r="A21" s="11">
        <v>2009</v>
      </c>
      <c r="B21" s="14" t="s">
        <v>99</v>
      </c>
      <c r="C21" s="14" t="s">
        <v>100</v>
      </c>
      <c r="D21" s="7">
        <v>4400</v>
      </c>
      <c r="E21" s="7"/>
      <c r="F21" s="7"/>
      <c r="G21" s="7"/>
      <c r="H21" s="7"/>
      <c r="I21" s="7">
        <v>0.88408984009254499</v>
      </c>
      <c r="J21" s="7">
        <v>4.89070975370344E-2</v>
      </c>
      <c r="K21" s="7">
        <v>9275.7839999999997</v>
      </c>
      <c r="L21" s="7">
        <v>0.474353434706975</v>
      </c>
    </row>
    <row r="22" spans="1:12" x14ac:dyDescent="0.3">
      <c r="A22" s="11">
        <v>2010</v>
      </c>
      <c r="B22" s="14" t="s">
        <v>99</v>
      </c>
      <c r="C22" s="14" t="s">
        <v>100</v>
      </c>
      <c r="D22" s="7">
        <v>2127</v>
      </c>
      <c r="E22" s="7"/>
      <c r="F22" s="7"/>
      <c r="G22" s="7"/>
      <c r="H22" s="7"/>
      <c r="I22" s="7">
        <v>0.45026895771301201</v>
      </c>
      <c r="J22" s="7">
        <v>2.4908495533060199E-2</v>
      </c>
      <c r="K22" s="7">
        <v>9304.7610000000004</v>
      </c>
      <c r="L22" s="7">
        <v>0.22859265272907101</v>
      </c>
    </row>
    <row r="23" spans="1:12" x14ac:dyDescent="0.3">
      <c r="A23" s="11">
        <v>2011</v>
      </c>
      <c r="B23" s="14" t="s">
        <v>99</v>
      </c>
      <c r="C23" s="14" t="s">
        <v>100</v>
      </c>
      <c r="D23" s="7">
        <v>2850</v>
      </c>
      <c r="E23" s="7"/>
      <c r="F23" s="7"/>
      <c r="G23" s="7"/>
      <c r="H23" s="7"/>
      <c r="I23" s="7">
        <v>0.59370199372685795</v>
      </c>
      <c r="J23" s="7">
        <v>3.2843089014677203E-2</v>
      </c>
      <c r="K23" s="7">
        <v>9329.1749999999993</v>
      </c>
      <c r="L23" s="7">
        <v>0.30549325101094099</v>
      </c>
    </row>
    <row r="24" spans="1:12" x14ac:dyDescent="0.3">
      <c r="A24" s="11">
        <v>2012</v>
      </c>
      <c r="B24" s="14" t="s">
        <v>99</v>
      </c>
      <c r="C24" s="14" t="s">
        <v>100</v>
      </c>
      <c r="D24" s="7">
        <v>7235.69</v>
      </c>
      <c r="E24" s="7"/>
      <c r="F24" s="7"/>
      <c r="G24" s="7"/>
      <c r="H24" s="7"/>
      <c r="I24" s="7">
        <v>1.5346326763171201</v>
      </c>
      <c r="J24" s="7">
        <v>8.4894573583500499E-2</v>
      </c>
      <c r="K24" s="7">
        <v>9353.7309999999998</v>
      </c>
      <c r="L24" s="7">
        <v>0.77356190807710801</v>
      </c>
    </row>
    <row r="25" spans="1:12" x14ac:dyDescent="0.3">
      <c r="A25" s="11">
        <v>2013</v>
      </c>
      <c r="B25" s="14" t="s">
        <v>99</v>
      </c>
      <c r="C25" s="14" t="s">
        <v>100</v>
      </c>
      <c r="D25" s="7">
        <v>1289</v>
      </c>
      <c r="E25" s="7"/>
      <c r="F25" s="7"/>
      <c r="G25" s="7"/>
      <c r="H25" s="7"/>
      <c r="I25" s="7">
        <v>0.31554301806084201</v>
      </c>
      <c r="J25" s="7">
        <v>1.7455571211876401E-2</v>
      </c>
      <c r="K25" s="7">
        <v>9369.4030000000002</v>
      </c>
      <c r="L25" s="7">
        <v>0.13757546772190299</v>
      </c>
    </row>
    <row r="26" spans="1:12" x14ac:dyDescent="0.3">
      <c r="A26" s="11">
        <v>2014</v>
      </c>
      <c r="B26" s="14" t="s">
        <v>99</v>
      </c>
      <c r="C26" s="14" t="s">
        <v>100</v>
      </c>
      <c r="D26" s="7">
        <v>2690</v>
      </c>
      <c r="E26" s="7"/>
      <c r="F26" s="7"/>
      <c r="G26" s="7"/>
      <c r="H26" s="7"/>
      <c r="I26" s="7">
        <v>0.61214194327356097</v>
      </c>
      <c r="J26" s="7">
        <v>3.3863171330026802E-2</v>
      </c>
      <c r="K26" s="7">
        <v>9382.5779999999995</v>
      </c>
      <c r="L26" s="7">
        <v>0.28670158670676699</v>
      </c>
    </row>
    <row r="27" spans="1:12" x14ac:dyDescent="0.3">
      <c r="A27" s="11">
        <v>2015</v>
      </c>
      <c r="B27" s="14" t="s">
        <v>99</v>
      </c>
      <c r="C27" s="14" t="s">
        <v>100</v>
      </c>
      <c r="D27" s="7">
        <v>5509.9</v>
      </c>
      <c r="E27" s="7"/>
      <c r="F27" s="7"/>
      <c r="G27" s="7"/>
      <c r="H27" s="7"/>
      <c r="I27" s="7">
        <v>1.2397929617755401</v>
      </c>
      <c r="J27" s="7">
        <v>6.8584291502476594E-2</v>
      </c>
      <c r="K27" s="7">
        <v>9395.1710000000003</v>
      </c>
      <c r="L27" s="7">
        <v>0.58646085313401997</v>
      </c>
    </row>
    <row r="28" spans="1:12" x14ac:dyDescent="0.3">
      <c r="A28" s="11">
        <v>2016</v>
      </c>
      <c r="B28" s="14" t="s">
        <v>99</v>
      </c>
      <c r="C28" s="14" t="s">
        <v>100</v>
      </c>
      <c r="D28" s="7">
        <v>1451</v>
      </c>
      <c r="E28" s="7"/>
      <c r="F28" s="7"/>
      <c r="G28" s="7"/>
      <c r="H28" s="7"/>
      <c r="I28" s="7">
        <v>0.33436945065483098</v>
      </c>
      <c r="J28" s="7">
        <v>1.8497033440479999E-2</v>
      </c>
      <c r="K28" s="7">
        <v>9381.9789999999994</v>
      </c>
      <c r="L28" s="7">
        <v>0.154658201643811</v>
      </c>
    </row>
    <row r="29" spans="1:12" x14ac:dyDescent="0.3">
      <c r="A29" s="11">
        <v>2017</v>
      </c>
      <c r="B29" s="14" t="s">
        <v>99</v>
      </c>
      <c r="C29" s="14" t="s">
        <v>100</v>
      </c>
      <c r="D29" s="7">
        <v>1023</v>
      </c>
      <c r="E29" s="7"/>
      <c r="F29" s="7"/>
      <c r="G29" s="7"/>
      <c r="H29" s="7"/>
      <c r="I29" s="7">
        <v>0.240431931684054</v>
      </c>
      <c r="J29" s="7">
        <v>1.33004898378413E-2</v>
      </c>
      <c r="K29" s="7">
        <v>9425.73</v>
      </c>
      <c r="L29" s="7">
        <v>0.10853270781149001</v>
      </c>
    </row>
    <row r="30" spans="1:12" x14ac:dyDescent="0.3">
      <c r="A30" s="11">
        <v>2018</v>
      </c>
      <c r="B30" s="14" t="s">
        <v>99</v>
      </c>
      <c r="C30" s="14" t="s">
        <v>100</v>
      </c>
      <c r="D30" s="7">
        <v>2695</v>
      </c>
      <c r="E30" s="7"/>
      <c r="F30" s="7"/>
      <c r="G30" s="7"/>
      <c r="H30" s="7"/>
      <c r="I30" s="7">
        <v>0.63003994219109105</v>
      </c>
      <c r="J30" s="7">
        <v>3.4853273397805001E-2</v>
      </c>
      <c r="K30" s="7">
        <v>9434.0779999999995</v>
      </c>
      <c r="L30" s="7">
        <v>0.28566649544343398</v>
      </c>
    </row>
    <row r="31" spans="1:12" x14ac:dyDescent="0.3">
      <c r="A31" s="11">
        <v>2019</v>
      </c>
      <c r="B31" s="14" t="s">
        <v>99</v>
      </c>
      <c r="C31" s="14" t="s">
        <v>100</v>
      </c>
      <c r="D31" s="7">
        <v>3572</v>
      </c>
      <c r="E31" s="7"/>
      <c r="F31" s="7"/>
      <c r="G31" s="7"/>
      <c r="H31" s="7"/>
      <c r="I31" s="7">
        <v>0.85727243816350296</v>
      </c>
      <c r="J31" s="7">
        <v>4.7423581685640599E-2</v>
      </c>
      <c r="K31" s="7">
        <v>9439.1219999999994</v>
      </c>
      <c r="L31" s="7">
        <v>0.37842502724299998</v>
      </c>
    </row>
    <row r="32" spans="1:12" x14ac:dyDescent="0.3">
      <c r="A32" s="11">
        <v>2020</v>
      </c>
      <c r="B32" s="14" t="s">
        <v>99</v>
      </c>
      <c r="C32" s="14" t="s">
        <v>100</v>
      </c>
      <c r="D32" s="7">
        <v>8417</v>
      </c>
      <c r="E32" s="7"/>
      <c r="F32" s="7"/>
      <c r="G32" s="7"/>
      <c r="H32" s="7"/>
      <c r="I32" s="7">
        <v>1.98899143919821</v>
      </c>
      <c r="J32" s="7">
        <v>0.11002931365777301</v>
      </c>
      <c r="K32" s="7">
        <v>9442.8739999999998</v>
      </c>
      <c r="L32" s="7">
        <v>0.89135998214102996</v>
      </c>
    </row>
    <row r="33" spans="1:12" x14ac:dyDescent="0.3">
      <c r="A33" s="11">
        <v>2021</v>
      </c>
      <c r="B33" s="14" t="s">
        <v>99</v>
      </c>
      <c r="C33" s="14" t="s">
        <v>100</v>
      </c>
      <c r="D33" s="7">
        <v>894</v>
      </c>
      <c r="E33" s="7"/>
      <c r="F33" s="7"/>
      <c r="G33" s="7"/>
      <c r="H33" s="7"/>
      <c r="I33" s="7">
        <v>0.21958353176765</v>
      </c>
      <c r="J33" s="7">
        <v>1.21471740977849E-2</v>
      </c>
      <c r="K33" s="7">
        <v>9450.1119999999992</v>
      </c>
      <c r="L33" s="7">
        <v>9.4602053393652893E-2</v>
      </c>
    </row>
    <row r="34" spans="1:12" x14ac:dyDescent="0.3">
      <c r="A34" s="11">
        <v>2022</v>
      </c>
      <c r="B34" s="14" t="s">
        <v>99</v>
      </c>
      <c r="C34" s="14" t="s">
        <v>100</v>
      </c>
      <c r="D34" s="7">
        <v>3555</v>
      </c>
      <c r="E34" s="7"/>
      <c r="F34" s="7"/>
      <c r="G34" s="7"/>
      <c r="H34" s="7"/>
      <c r="I34" s="7">
        <v>0.88282890824542004</v>
      </c>
      <c r="J34" s="7">
        <v>4.8837343860384901E-2</v>
      </c>
      <c r="K34" s="7">
        <v>9464.0630000000001</v>
      </c>
      <c r="L34" s="7">
        <v>0.37563148089779202</v>
      </c>
    </row>
    <row r="35" spans="1:12" x14ac:dyDescent="0.3">
      <c r="A35" s="11">
        <v>2023</v>
      </c>
      <c r="B35" s="14" t="s">
        <v>99</v>
      </c>
      <c r="C35" s="14" t="s">
        <v>100</v>
      </c>
      <c r="D35" s="7">
        <v>1129</v>
      </c>
      <c r="E35" s="7"/>
      <c r="F35" s="7"/>
      <c r="G35" s="7"/>
      <c r="H35" s="7"/>
      <c r="I35" s="7">
        <v>0.28534273530946302</v>
      </c>
      <c r="J35" s="7">
        <v>1.5784917272438401E-2</v>
      </c>
      <c r="K35" s="7">
        <v>9434.9319099999993</v>
      </c>
      <c r="L35" s="7">
        <v>0.11966170087601601</v>
      </c>
    </row>
    <row r="36" spans="1:12" x14ac:dyDescent="0.3">
      <c r="A36" s="12">
        <v>2024</v>
      </c>
      <c r="B36" s="5" t="s">
        <v>99</v>
      </c>
      <c r="C36" s="5" t="s">
        <v>100</v>
      </c>
      <c r="D36" s="8">
        <v>1358</v>
      </c>
      <c r="E36" s="8"/>
      <c r="F36" s="8"/>
      <c r="G36" s="8"/>
      <c r="H36" s="8"/>
      <c r="I36" s="8">
        <v>0.34859041335803898</v>
      </c>
      <c r="J36" s="8">
        <v>1.9283724994274502E-2</v>
      </c>
      <c r="K36" s="8">
        <v>9471.6054899999999</v>
      </c>
      <c r="L36" s="8">
        <v>0.14337590405700101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.77734375" customWidth="1"/>
    <col min="2" max="2" width="11.77734375" customWidth="1"/>
    <col min="3" max="3" width="4.109375" customWidth="1"/>
    <col min="4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99</v>
      </c>
      <c r="C2" s="13" t="s">
        <v>100</v>
      </c>
      <c r="D2" s="6">
        <v>161719.894517354</v>
      </c>
      <c r="E2" s="6">
        <v>31.274489597816601</v>
      </c>
      <c r="F2" s="6">
        <v>6.7781215682034907E-2</v>
      </c>
      <c r="G2" s="6">
        <v>1.8074990848542501E-3</v>
      </c>
      <c r="H2" s="6">
        <v>5057.7071588429799</v>
      </c>
      <c r="I2" s="6">
        <v>10.961571050356699</v>
      </c>
      <c r="J2" s="6">
        <v>0.292308561342844</v>
      </c>
      <c r="K2" s="6">
        <v>4147.9945877601604</v>
      </c>
      <c r="L2" s="6">
        <v>38.987489278446702</v>
      </c>
    </row>
    <row r="3" spans="1:12" x14ac:dyDescent="0.3">
      <c r="A3" s="11">
        <v>1991</v>
      </c>
      <c r="B3" s="14" t="s">
        <v>99</v>
      </c>
      <c r="C3" s="14" t="s">
        <v>100</v>
      </c>
      <c r="D3" s="7">
        <v>82181.127830048907</v>
      </c>
      <c r="E3" s="7">
        <v>25.287962237484098</v>
      </c>
      <c r="F3" s="7">
        <v>6.2769371447528505E-2</v>
      </c>
      <c r="G3" s="7">
        <v>1.6738499052674301E-3</v>
      </c>
      <c r="H3" s="7">
        <v>2078.1932572001301</v>
      </c>
      <c r="I3" s="7">
        <v>5.1584577387411601</v>
      </c>
      <c r="J3" s="7">
        <v>0.13755887303309799</v>
      </c>
      <c r="K3" s="7">
        <v>4156.8622523663698</v>
      </c>
      <c r="L3" s="7">
        <v>19.769990642164199</v>
      </c>
    </row>
    <row r="4" spans="1:12" x14ac:dyDescent="0.3">
      <c r="A4" s="11">
        <v>1992</v>
      </c>
      <c r="B4" s="14" t="s">
        <v>99</v>
      </c>
      <c r="C4" s="14" t="s">
        <v>100</v>
      </c>
      <c r="D4" s="7">
        <v>18696.4397141564</v>
      </c>
      <c r="E4" s="7">
        <v>22.634032291526701</v>
      </c>
      <c r="F4" s="7">
        <v>6.6476782113864596E-2</v>
      </c>
      <c r="G4" s="7">
        <v>1.77271418970306E-3</v>
      </c>
      <c r="H4" s="7">
        <v>423.17582022679898</v>
      </c>
      <c r="I4" s="7">
        <v>1.24287914918298</v>
      </c>
      <c r="J4" s="7">
        <v>3.3143443978212901E-2</v>
      </c>
      <c r="K4" s="7">
        <v>4165.7299169726002</v>
      </c>
      <c r="L4" s="7">
        <v>4.4881545579757196</v>
      </c>
    </row>
    <row r="5" spans="1:12" x14ac:dyDescent="0.3">
      <c r="A5" s="11">
        <v>1993</v>
      </c>
      <c r="B5" s="14" t="s">
        <v>99</v>
      </c>
      <c r="C5" s="14" t="s">
        <v>100</v>
      </c>
      <c r="D5" s="7">
        <v>15578.5520507375</v>
      </c>
      <c r="E5" s="7">
        <v>22.462375072735298</v>
      </c>
      <c r="F5" s="7">
        <v>7.1392786686194004E-2</v>
      </c>
      <c r="G5" s="7">
        <v>1.90380764496559E-3</v>
      </c>
      <c r="H5" s="7">
        <v>349.93127925379503</v>
      </c>
      <c r="I5" s="7">
        <v>1.1121962434380701</v>
      </c>
      <c r="J5" s="7">
        <v>2.9658566491688399E-2</v>
      </c>
      <c r="K5" s="7">
        <v>4174.5975815788197</v>
      </c>
      <c r="L5" s="7">
        <v>3.73174940729155</v>
      </c>
    </row>
    <row r="6" spans="1:12" x14ac:dyDescent="0.3">
      <c r="A6" s="11">
        <v>1994</v>
      </c>
      <c r="B6" s="14" t="s">
        <v>99</v>
      </c>
      <c r="C6" s="14" t="s">
        <v>100</v>
      </c>
      <c r="D6" s="7">
        <v>28407.552991905399</v>
      </c>
      <c r="E6" s="7">
        <v>31.124809044989799</v>
      </c>
      <c r="F6" s="7">
        <v>7.3825424810063198E-2</v>
      </c>
      <c r="G6" s="7">
        <v>1.9686779949232899E-3</v>
      </c>
      <c r="H6" s="7">
        <v>884.17966230848401</v>
      </c>
      <c r="I6" s="7">
        <v>2.0971996674417999</v>
      </c>
      <c r="J6" s="7">
        <v>5.5925324464781302E-2</v>
      </c>
      <c r="K6" s="7">
        <v>4183.4652461850301</v>
      </c>
      <c r="L6" s="7">
        <v>6.7904359950905997</v>
      </c>
    </row>
    <row r="7" spans="1:12" x14ac:dyDescent="0.3">
      <c r="A7" s="11">
        <v>1995</v>
      </c>
      <c r="B7" s="14" t="s">
        <v>99</v>
      </c>
      <c r="C7" s="14" t="s">
        <v>100</v>
      </c>
      <c r="D7" s="7">
        <v>54503.832386588801</v>
      </c>
      <c r="E7" s="7">
        <v>25.720765153116901</v>
      </c>
      <c r="F7" s="7">
        <v>6.97286595071719E-2</v>
      </c>
      <c r="G7" s="7">
        <v>1.8594309201894199E-3</v>
      </c>
      <c r="H7" s="7">
        <v>1401.8802727602999</v>
      </c>
      <c r="I7" s="7">
        <v>3.8004791703204202</v>
      </c>
      <c r="J7" s="7">
        <v>0.101346111208445</v>
      </c>
      <c r="K7" s="7">
        <v>4192.3329107912496</v>
      </c>
      <c r="L7" s="7">
        <v>13.0008359417959</v>
      </c>
    </row>
    <row r="8" spans="1:12" x14ac:dyDescent="0.3">
      <c r="A8" s="11">
        <v>1996</v>
      </c>
      <c r="B8" s="14" t="s">
        <v>99</v>
      </c>
      <c r="C8" s="14" t="s">
        <v>100</v>
      </c>
      <c r="D8" s="7">
        <v>29491.998767150701</v>
      </c>
      <c r="E8" s="7">
        <v>19.773973900591201</v>
      </c>
      <c r="F8" s="7">
        <v>4.60284171641075E-2</v>
      </c>
      <c r="G8" s="7">
        <v>1.22742445770953E-3</v>
      </c>
      <c r="H8" s="7">
        <v>583.17401389790598</v>
      </c>
      <c r="I8" s="7">
        <v>1.35747002225776</v>
      </c>
      <c r="J8" s="7">
        <v>3.6199200593540197E-2</v>
      </c>
      <c r="K8" s="7">
        <v>4204.36160494466</v>
      </c>
      <c r="L8" s="7">
        <v>7.0146199443134902</v>
      </c>
    </row>
    <row r="9" spans="1:12" x14ac:dyDescent="0.3">
      <c r="A9" s="11">
        <v>1997</v>
      </c>
      <c r="B9" s="14" t="s">
        <v>99</v>
      </c>
      <c r="C9" s="14" t="s">
        <v>100</v>
      </c>
      <c r="D9" s="7">
        <v>8548.4010552012005</v>
      </c>
      <c r="E9" s="7">
        <v>15.582640753457101</v>
      </c>
      <c r="F9" s="7">
        <v>4.7520601599208297E-2</v>
      </c>
      <c r="G9" s="7">
        <v>1.2672160426455601E-3</v>
      </c>
      <c r="H9" s="7">
        <v>133.20666265967401</v>
      </c>
      <c r="I9" s="7">
        <v>0.40622516085446803</v>
      </c>
      <c r="J9" s="7">
        <v>1.08326709561192E-2</v>
      </c>
      <c r="K9" s="7">
        <v>4216.3902990980696</v>
      </c>
      <c r="L9" s="7">
        <v>2.0274216684897</v>
      </c>
    </row>
    <row r="10" spans="1:12" x14ac:dyDescent="0.3">
      <c r="A10" s="11">
        <v>1998</v>
      </c>
      <c r="B10" s="14" t="s">
        <v>99</v>
      </c>
      <c r="C10" s="14" t="s">
        <v>100</v>
      </c>
      <c r="D10" s="7">
        <v>32465.769509095899</v>
      </c>
      <c r="E10" s="7">
        <v>18.2416109523191</v>
      </c>
      <c r="F10" s="7">
        <v>4.6753687751946403E-2</v>
      </c>
      <c r="G10" s="7">
        <v>1.2467650067185701E-3</v>
      </c>
      <c r="H10" s="7">
        <v>592.22793665258996</v>
      </c>
      <c r="I10" s="7">
        <v>1.5178944502549301</v>
      </c>
      <c r="J10" s="7">
        <v>4.0477185340131401E-2</v>
      </c>
      <c r="K10" s="7">
        <v>4228.4189932514701</v>
      </c>
      <c r="L10" s="7">
        <v>7.67799254541971</v>
      </c>
    </row>
    <row r="11" spans="1:12" x14ac:dyDescent="0.3">
      <c r="A11" s="11">
        <v>1999</v>
      </c>
      <c r="B11" s="14" t="s">
        <v>99</v>
      </c>
      <c r="C11" s="14" t="s">
        <v>100</v>
      </c>
      <c r="D11" s="7">
        <v>7779.9877155188797</v>
      </c>
      <c r="E11" s="7">
        <v>16.2076724713944</v>
      </c>
      <c r="F11" s="7">
        <v>4.9416003198265702E-2</v>
      </c>
      <c r="G11" s="7">
        <v>1.31776008528709E-3</v>
      </c>
      <c r="H11" s="7">
        <v>126.095492724602</v>
      </c>
      <c r="I11" s="7">
        <v>0.38445589783254902</v>
      </c>
      <c r="J11" s="7">
        <v>1.0252157275534701E-2</v>
      </c>
      <c r="K11" s="7">
        <v>4240.4476874048796</v>
      </c>
      <c r="L11" s="7">
        <v>1.83470904230873</v>
      </c>
    </row>
    <row r="12" spans="1:12" x14ac:dyDescent="0.3">
      <c r="A12" s="11">
        <v>2000</v>
      </c>
      <c r="B12" s="14" t="s">
        <v>99</v>
      </c>
      <c r="C12" s="14" t="s">
        <v>100</v>
      </c>
      <c r="D12" s="7">
        <v>50130.560167604403</v>
      </c>
      <c r="E12" s="7">
        <v>19.0891622828821</v>
      </c>
      <c r="F12" s="7">
        <v>5.77871582367806E-2</v>
      </c>
      <c r="G12" s="7">
        <v>1.54099088631415E-3</v>
      </c>
      <c r="H12" s="7">
        <v>956.95039837118395</v>
      </c>
      <c r="I12" s="7">
        <v>2.8969026129038</v>
      </c>
      <c r="J12" s="7">
        <v>7.7250736344101498E-2</v>
      </c>
      <c r="K12" s="7">
        <v>4252.4763815583001</v>
      </c>
      <c r="L12" s="7">
        <v>11.788556988818399</v>
      </c>
    </row>
    <row r="13" spans="1:12" x14ac:dyDescent="0.3">
      <c r="A13" s="11">
        <v>2001</v>
      </c>
      <c r="B13" s="14" t="s">
        <v>99</v>
      </c>
      <c r="C13" s="14" t="s">
        <v>100</v>
      </c>
      <c r="D13" s="7">
        <v>39954.044857616398</v>
      </c>
      <c r="E13" s="7">
        <v>18.515388782259201</v>
      </c>
      <c r="F13" s="7">
        <v>5.6476138514822603E-2</v>
      </c>
      <c r="G13" s="7">
        <v>1.50603036039527E-3</v>
      </c>
      <c r="H13" s="7">
        <v>739.76467396259102</v>
      </c>
      <c r="I13" s="7">
        <v>2.25645017160618</v>
      </c>
      <c r="J13" s="7">
        <v>6.0172004576164902E-2</v>
      </c>
      <c r="K13" s="7">
        <v>4264.4820979475298</v>
      </c>
      <c r="L13" s="7">
        <v>9.3690262826630306</v>
      </c>
    </row>
    <row r="14" spans="1:12" x14ac:dyDescent="0.3">
      <c r="A14" s="11">
        <v>2002</v>
      </c>
      <c r="B14" s="14" t="s">
        <v>99</v>
      </c>
      <c r="C14" s="14" t="s">
        <v>100</v>
      </c>
      <c r="D14" s="7">
        <v>59200.6957729321</v>
      </c>
      <c r="E14" s="7">
        <v>19.160576525488999</v>
      </c>
      <c r="F14" s="7">
        <v>6.0395743514447098E-2</v>
      </c>
      <c r="G14" s="7">
        <v>1.61055316038526E-3</v>
      </c>
      <c r="H14" s="7">
        <v>1134.3194617194599</v>
      </c>
      <c r="I14" s="7">
        <v>3.5754700377788202</v>
      </c>
      <c r="J14" s="7">
        <v>9.53458676741019E-2</v>
      </c>
      <c r="K14" s="7">
        <v>4276.4878143367596</v>
      </c>
      <c r="L14" s="7">
        <v>13.843298132281401</v>
      </c>
    </row>
    <row r="15" spans="1:12" x14ac:dyDescent="0.3">
      <c r="A15" s="11">
        <v>2003</v>
      </c>
      <c r="B15" s="14" t="s">
        <v>99</v>
      </c>
      <c r="C15" s="14" t="s">
        <v>100</v>
      </c>
      <c r="D15" s="7">
        <v>254256.997796162</v>
      </c>
      <c r="E15" s="7">
        <v>31.320859057269601</v>
      </c>
      <c r="F15" s="7">
        <v>5.69951471821541E-2</v>
      </c>
      <c r="G15" s="7">
        <v>1.5198705915241101E-3</v>
      </c>
      <c r="H15" s="7">
        <v>7963.5475922981004</v>
      </c>
      <c r="I15" s="7">
        <v>14.4914150114849</v>
      </c>
      <c r="J15" s="7">
        <v>0.38643773363959799</v>
      </c>
      <c r="K15" s="7">
        <v>4288.4935307260002</v>
      </c>
      <c r="L15" s="7">
        <v>59.288184994211399</v>
      </c>
    </row>
    <row r="16" spans="1:12" x14ac:dyDescent="0.3">
      <c r="A16" s="11">
        <v>2004</v>
      </c>
      <c r="B16" s="14" t="s">
        <v>99</v>
      </c>
      <c r="C16" s="14" t="s">
        <v>100</v>
      </c>
      <c r="D16" s="7">
        <v>50001.0048442314</v>
      </c>
      <c r="E16" s="7">
        <v>21.743739802614499</v>
      </c>
      <c r="F16" s="7">
        <v>3.9100287890983798E-2</v>
      </c>
      <c r="G16" s="7">
        <v>1.04267434375957E-3</v>
      </c>
      <c r="H16" s="7">
        <v>1087.2088392022299</v>
      </c>
      <c r="I16" s="7">
        <v>1.95505368424792</v>
      </c>
      <c r="J16" s="7">
        <v>5.2134764913277801E-2</v>
      </c>
      <c r="K16" s="7">
        <v>4300.49924711523</v>
      </c>
      <c r="L16" s="7">
        <v>11.6267907447657</v>
      </c>
    </row>
    <row r="17" spans="1:12" x14ac:dyDescent="0.3">
      <c r="A17" s="11">
        <v>2005</v>
      </c>
      <c r="B17" s="14" t="s">
        <v>99</v>
      </c>
      <c r="C17" s="14" t="s">
        <v>100</v>
      </c>
      <c r="D17" s="7">
        <v>186030.88245239601</v>
      </c>
      <c r="E17" s="7">
        <v>27.415660963524399</v>
      </c>
      <c r="F17" s="7">
        <v>6.6869475436840894E-2</v>
      </c>
      <c r="G17" s="7">
        <v>1.7831860116490799E-3</v>
      </c>
      <c r="H17" s="7">
        <v>5100.1596020601501</v>
      </c>
      <c r="I17" s="7">
        <v>12.4397875246444</v>
      </c>
      <c r="J17" s="7">
        <v>0.33172766732384801</v>
      </c>
      <c r="K17" s="7">
        <v>4312.5049635044597</v>
      </c>
      <c r="L17" s="7">
        <v>43.1375462815055</v>
      </c>
    </row>
    <row r="18" spans="1:12" x14ac:dyDescent="0.3">
      <c r="A18" s="11">
        <v>2006</v>
      </c>
      <c r="B18" s="14" t="s">
        <v>99</v>
      </c>
      <c r="C18" s="14" t="s">
        <v>100</v>
      </c>
      <c r="D18" s="7">
        <v>36091.141712912802</v>
      </c>
      <c r="E18" s="7">
        <v>18.249686385101</v>
      </c>
      <c r="F18" s="7">
        <v>6.1847925926192003E-2</v>
      </c>
      <c r="G18" s="7">
        <v>1.64927802469846E-3</v>
      </c>
      <c r="H18" s="7">
        <v>658.65201754089696</v>
      </c>
      <c r="I18" s="7">
        <v>2.2321622592519299</v>
      </c>
      <c r="J18" s="7">
        <v>5.9524326913384898E-2</v>
      </c>
      <c r="K18" s="7">
        <v>4324.5106798937004</v>
      </c>
      <c r="L18" s="7">
        <v>8.3457168647343796</v>
      </c>
    </row>
    <row r="19" spans="1:12" x14ac:dyDescent="0.3">
      <c r="A19" s="11">
        <v>2007</v>
      </c>
      <c r="B19" s="14" t="s">
        <v>99</v>
      </c>
      <c r="C19" s="14" t="s">
        <v>100</v>
      </c>
      <c r="D19" s="7">
        <v>15691.0344891481</v>
      </c>
      <c r="E19" s="7">
        <v>17.755469006155899</v>
      </c>
      <c r="F19" s="7">
        <v>5.3189473448615597E-2</v>
      </c>
      <c r="G19" s="7">
        <v>1.4183859586297501E-3</v>
      </c>
      <c r="H19" s="7">
        <v>278.60167654659199</v>
      </c>
      <c r="I19" s="7">
        <v>0.83459786234185396</v>
      </c>
      <c r="J19" s="7">
        <v>2.2255942995782801E-2</v>
      </c>
      <c r="K19" s="7">
        <v>4336.6664890641196</v>
      </c>
      <c r="L19" s="7">
        <v>3.6182248574375202</v>
      </c>
    </row>
    <row r="20" spans="1:12" x14ac:dyDescent="0.3">
      <c r="A20" s="11">
        <v>2008</v>
      </c>
      <c r="B20" s="14" t="s">
        <v>99</v>
      </c>
      <c r="C20" s="14" t="s">
        <v>100</v>
      </c>
      <c r="D20" s="7">
        <v>4534.2989417642502</v>
      </c>
      <c r="E20" s="7">
        <v>18.771672032739801</v>
      </c>
      <c r="F20" s="7">
        <v>6.2441099011833097E-2</v>
      </c>
      <c r="G20" s="7">
        <v>1.6650959740235501E-3</v>
      </c>
      <c r="H20" s="7">
        <v>85.116372633197599</v>
      </c>
      <c r="I20" s="7">
        <v>0.28312660917195198</v>
      </c>
      <c r="J20" s="7">
        <v>7.55004291295091E-3</v>
      </c>
      <c r="K20" s="7">
        <v>4336.7441988095798</v>
      </c>
      <c r="L20" s="7">
        <v>1.0455536997107</v>
      </c>
    </row>
    <row r="21" spans="1:12" x14ac:dyDescent="0.3">
      <c r="A21" s="11">
        <v>2009</v>
      </c>
      <c r="B21" s="14" t="s">
        <v>99</v>
      </c>
      <c r="C21" s="14" t="s">
        <v>100</v>
      </c>
      <c r="D21" s="7">
        <v>30053.214049704198</v>
      </c>
      <c r="E21" s="7">
        <v>22.9925845532083</v>
      </c>
      <c r="F21" s="7">
        <v>5.7927532508508503E-2</v>
      </c>
      <c r="G21" s="7">
        <v>1.5447342002268901E-3</v>
      </c>
      <c r="H21" s="7">
        <v>691.00106513348999</v>
      </c>
      <c r="I21" s="7">
        <v>1.7409085338493999</v>
      </c>
      <c r="J21" s="7">
        <v>4.6424227569317501E-2</v>
      </c>
      <c r="K21" s="7">
        <v>4336.8219085550299</v>
      </c>
      <c r="L21" s="7">
        <v>6.9297782300951196</v>
      </c>
    </row>
    <row r="22" spans="1:12" x14ac:dyDescent="0.3">
      <c r="A22" s="11">
        <v>2010</v>
      </c>
      <c r="B22" s="14" t="s">
        <v>99</v>
      </c>
      <c r="C22" s="14" t="s">
        <v>100</v>
      </c>
      <c r="D22" s="7">
        <v>60586.008400678496</v>
      </c>
      <c r="E22" s="7">
        <v>22.454328097931501</v>
      </c>
      <c r="F22" s="7">
        <v>6.4337515196185593E-2</v>
      </c>
      <c r="G22" s="7">
        <v>1.71566707189829E-3</v>
      </c>
      <c r="H22" s="7">
        <v>1360.41811077287</v>
      </c>
      <c r="I22" s="7">
        <v>3.8979532361548799</v>
      </c>
      <c r="J22" s="7">
        <v>0.103945419630797</v>
      </c>
      <c r="K22" s="7">
        <v>4336.8996183004901</v>
      </c>
      <c r="L22" s="7">
        <v>13.9698894908756</v>
      </c>
    </row>
    <row r="23" spans="1:12" x14ac:dyDescent="0.3">
      <c r="A23" s="11">
        <v>2011</v>
      </c>
      <c r="B23" s="14" t="s">
        <v>99</v>
      </c>
      <c r="C23" s="14" t="s">
        <v>100</v>
      </c>
      <c r="D23" s="7">
        <v>28193.900785030601</v>
      </c>
      <c r="E23" s="7">
        <v>23.507176370664599</v>
      </c>
      <c r="F23" s="7">
        <v>6.4625658133336303E-2</v>
      </c>
      <c r="G23" s="7">
        <v>1.7233508835556299E-3</v>
      </c>
      <c r="H23" s="7">
        <v>662.75899833073299</v>
      </c>
      <c r="I23" s="7">
        <v>1.82204939357859</v>
      </c>
      <c r="J23" s="7">
        <v>4.8587983828762303E-2</v>
      </c>
      <c r="K23" s="7">
        <v>4338.7470063251503</v>
      </c>
      <c r="L23" s="7">
        <v>6.4981665775692203</v>
      </c>
    </row>
    <row r="24" spans="1:12" x14ac:dyDescent="0.3">
      <c r="A24" s="11">
        <v>2012</v>
      </c>
      <c r="B24" s="14" t="s">
        <v>99</v>
      </c>
      <c r="C24" s="14" t="s">
        <v>100</v>
      </c>
      <c r="D24" s="7">
        <v>68166.383317735395</v>
      </c>
      <c r="E24" s="7">
        <v>24.8605226539927</v>
      </c>
      <c r="F24" s="7">
        <v>5.7155249297365998E-2</v>
      </c>
      <c r="G24" s="7">
        <v>1.5241399812630999E-3</v>
      </c>
      <c r="H24" s="7">
        <v>1694.6519167113099</v>
      </c>
      <c r="I24" s="7">
        <v>3.89606663222497</v>
      </c>
      <c r="J24" s="7">
        <v>0.10389511019266599</v>
      </c>
      <c r="K24" s="7">
        <v>4340.5943943498396</v>
      </c>
      <c r="L24" s="7">
        <v>15.704389105434</v>
      </c>
    </row>
    <row r="25" spans="1:12" x14ac:dyDescent="0.3">
      <c r="A25" s="11">
        <v>2013</v>
      </c>
      <c r="B25" s="14" t="s">
        <v>99</v>
      </c>
      <c r="C25" s="14" t="s">
        <v>100</v>
      </c>
      <c r="D25" s="7">
        <v>66523.175855052803</v>
      </c>
      <c r="E25" s="7">
        <v>25.213318362273199</v>
      </c>
      <c r="F25" s="7">
        <v>6.5178175450188905E-2</v>
      </c>
      <c r="G25" s="7">
        <v>1.7380846786717E-3</v>
      </c>
      <c r="H25" s="7">
        <v>1677.27001130293</v>
      </c>
      <c r="I25" s="7">
        <v>4.3358592273844003</v>
      </c>
      <c r="J25" s="7">
        <v>0.11562291273024999</v>
      </c>
      <c r="K25" s="7">
        <v>4341.5779528594003</v>
      </c>
      <c r="L25" s="7">
        <v>15.3223497487221</v>
      </c>
    </row>
    <row r="26" spans="1:12" x14ac:dyDescent="0.3">
      <c r="A26" s="11">
        <v>2014</v>
      </c>
      <c r="B26" s="14" t="s">
        <v>99</v>
      </c>
      <c r="C26" s="14" t="s">
        <v>100</v>
      </c>
      <c r="D26" s="7">
        <v>8545.0957486166699</v>
      </c>
      <c r="E26" s="7">
        <v>17.9972089226134</v>
      </c>
      <c r="F26" s="7">
        <v>4.7896725540823602E-2</v>
      </c>
      <c r="G26" s="7">
        <v>1.2772460145892999E-3</v>
      </c>
      <c r="H26" s="7">
        <v>153.78787345159</v>
      </c>
      <c r="I26" s="7">
        <v>0.409282105791551</v>
      </c>
      <c r="J26" s="7">
        <v>1.09141894892046E-2</v>
      </c>
      <c r="K26" s="7">
        <v>4342.5615113689701</v>
      </c>
      <c r="L26" s="7">
        <v>1.96775468263266</v>
      </c>
    </row>
    <row r="27" spans="1:12" x14ac:dyDescent="0.3">
      <c r="A27" s="11">
        <v>2015</v>
      </c>
      <c r="B27" s="14" t="s">
        <v>99</v>
      </c>
      <c r="C27" s="14" t="s">
        <v>100</v>
      </c>
      <c r="D27" s="7">
        <v>26886.8587617128</v>
      </c>
      <c r="E27" s="7">
        <v>18.167909028952302</v>
      </c>
      <c r="F27" s="7">
        <v>6.0064997664506299E-2</v>
      </c>
      <c r="G27" s="7">
        <v>1.6017332710535001E-3</v>
      </c>
      <c r="H27" s="7">
        <v>488.47800405708801</v>
      </c>
      <c r="I27" s="7">
        <v>1.61495910872819</v>
      </c>
      <c r="J27" s="7">
        <v>4.3065576232751701E-2</v>
      </c>
      <c r="K27" s="7">
        <v>4343.5450698785398</v>
      </c>
      <c r="L27" s="7">
        <v>6.1900724705648402</v>
      </c>
    </row>
    <row r="28" spans="1:12" x14ac:dyDescent="0.3">
      <c r="A28" s="11">
        <v>2016</v>
      </c>
      <c r="B28" s="14" t="s">
        <v>99</v>
      </c>
      <c r="C28" s="14" t="s">
        <v>100</v>
      </c>
      <c r="D28" s="7">
        <v>89097.296520451506</v>
      </c>
      <c r="E28" s="7">
        <v>20.436614994136399</v>
      </c>
      <c r="F28" s="7">
        <v>6.0688975175170898E-2</v>
      </c>
      <c r="G28" s="7">
        <v>1.6183726713378901E-3</v>
      </c>
      <c r="H28" s="7">
        <v>1820.8471460068799</v>
      </c>
      <c r="I28" s="7">
        <v>5.4072236167045196</v>
      </c>
      <c r="J28" s="7">
        <v>0.144192629778787</v>
      </c>
      <c r="K28" s="7">
        <v>4343.0023420320204</v>
      </c>
      <c r="L28" s="7">
        <v>20.515138953106</v>
      </c>
    </row>
    <row r="29" spans="1:12" x14ac:dyDescent="0.3">
      <c r="A29" s="11">
        <v>2017</v>
      </c>
      <c r="B29" s="14" t="s">
        <v>99</v>
      </c>
      <c r="C29" s="14" t="s">
        <v>100</v>
      </c>
      <c r="D29" s="7">
        <v>362484.28210557101</v>
      </c>
      <c r="E29" s="7">
        <v>38.872346116501703</v>
      </c>
      <c r="F29" s="7">
        <v>6.1515690086571997E-2</v>
      </c>
      <c r="G29" s="7">
        <v>1.6404184023085899E-3</v>
      </c>
      <c r="H29" s="7">
        <v>14090.614475799401</v>
      </c>
      <c r="I29" s="7">
        <v>22.298470759259899</v>
      </c>
      <c r="J29" s="7">
        <v>0.59462588691359697</v>
      </c>
      <c r="K29" s="7">
        <v>4342.45961418551</v>
      </c>
      <c r="L29" s="7">
        <v>83.4744164163194</v>
      </c>
    </row>
    <row r="30" spans="1:12" x14ac:dyDescent="0.3">
      <c r="A30" s="11">
        <v>2018</v>
      </c>
      <c r="B30" s="14" t="s">
        <v>99</v>
      </c>
      <c r="C30" s="14" t="s">
        <v>100</v>
      </c>
      <c r="D30" s="7">
        <v>21968.252461534899</v>
      </c>
      <c r="E30" s="7">
        <v>20.411412101429601</v>
      </c>
      <c r="F30" s="7">
        <v>4.6686925895807203E-2</v>
      </c>
      <c r="G30" s="7">
        <v>1.2449846905958201E-3</v>
      </c>
      <c r="H30" s="7">
        <v>448.403054140633</v>
      </c>
      <c r="I30" s="7">
        <v>1.02563017473206</v>
      </c>
      <c r="J30" s="7">
        <v>2.7350137993754901E-2</v>
      </c>
      <c r="K30" s="7">
        <v>4341.9168863389996</v>
      </c>
      <c r="L30" s="7">
        <v>5.0595746156850101</v>
      </c>
    </row>
    <row r="31" spans="1:12" x14ac:dyDescent="0.3">
      <c r="A31" s="11">
        <v>2019</v>
      </c>
      <c r="B31" s="14" t="s">
        <v>99</v>
      </c>
      <c r="C31" s="14" t="s">
        <v>100</v>
      </c>
      <c r="D31" s="7">
        <v>23179.162749417399</v>
      </c>
      <c r="E31" s="7">
        <v>16.810946887164199</v>
      </c>
      <c r="F31" s="7">
        <v>5.2954493004927897E-2</v>
      </c>
      <c r="G31" s="7">
        <v>1.4121198136138799E-3</v>
      </c>
      <c r="H31" s="7">
        <v>389.663673869391</v>
      </c>
      <c r="I31" s="7">
        <v>1.22744081167411</v>
      </c>
      <c r="J31" s="7">
        <v>3.27317549814332E-2</v>
      </c>
      <c r="K31" s="7">
        <v>4341.3741584924801</v>
      </c>
      <c r="L31" s="7">
        <v>5.3391304004689299</v>
      </c>
    </row>
    <row r="32" spans="1:12" x14ac:dyDescent="0.3">
      <c r="A32" s="11">
        <v>2020</v>
      </c>
      <c r="B32" s="14" t="s">
        <v>99</v>
      </c>
      <c r="C32" s="14" t="s">
        <v>100</v>
      </c>
      <c r="D32" s="7">
        <v>37115.613596312804</v>
      </c>
      <c r="E32" s="7">
        <v>15.7716092675746</v>
      </c>
      <c r="F32" s="7">
        <v>5.2176315091821399E-2</v>
      </c>
      <c r="G32" s="7">
        <v>1.3913684023509601E-3</v>
      </c>
      <c r="H32" s="7">
        <v>585.37295536732597</v>
      </c>
      <c r="I32" s="7">
        <v>1.93655594982751</v>
      </c>
      <c r="J32" s="7">
        <v>5.1641491991777401E-2</v>
      </c>
      <c r="K32" s="7">
        <v>4340.8314306459597</v>
      </c>
      <c r="L32" s="7">
        <v>8.5503466765097595</v>
      </c>
    </row>
    <row r="33" spans="1:12" x14ac:dyDescent="0.3">
      <c r="A33" s="11">
        <v>2021</v>
      </c>
      <c r="B33" s="14" t="s">
        <v>99</v>
      </c>
      <c r="C33" s="14" t="s">
        <v>100</v>
      </c>
      <c r="D33" s="7">
        <v>8976.9772526614997</v>
      </c>
      <c r="E33" s="7">
        <v>26.4123635001041</v>
      </c>
      <c r="F33" s="7">
        <v>5.8063258203482501E-2</v>
      </c>
      <c r="G33" s="7">
        <v>1.54835355191688E-3</v>
      </c>
      <c r="H33" s="7">
        <v>237.10318632946201</v>
      </c>
      <c r="I33" s="7">
        <v>0.52123254810807296</v>
      </c>
      <c r="J33" s="7">
        <v>1.38995346146355E-2</v>
      </c>
      <c r="K33" s="7">
        <v>4340.2887027994502</v>
      </c>
      <c r="L33" s="7">
        <v>2.0682903528678702</v>
      </c>
    </row>
    <row r="34" spans="1:12" x14ac:dyDescent="0.3">
      <c r="A34" s="11">
        <v>2022</v>
      </c>
      <c r="B34" s="14" t="s">
        <v>99</v>
      </c>
      <c r="C34" s="14" t="s">
        <v>100</v>
      </c>
      <c r="D34" s="7">
        <v>57562.110114731797</v>
      </c>
      <c r="E34" s="7">
        <v>24.522122251260601</v>
      </c>
      <c r="F34" s="7">
        <v>6.4722050198161199E-2</v>
      </c>
      <c r="G34" s="7">
        <v>1.72592133864266E-3</v>
      </c>
      <c r="H34" s="7">
        <v>1411.54510127398</v>
      </c>
      <c r="I34" s="7">
        <v>3.7255377803577501</v>
      </c>
      <c r="J34" s="7">
        <v>9.9347674144313905E-2</v>
      </c>
      <c r="K34" s="7">
        <v>4339.7459749529298</v>
      </c>
      <c r="L34" s="7">
        <v>13.263935365561601</v>
      </c>
    </row>
    <row r="35" spans="1:12" x14ac:dyDescent="0.3">
      <c r="A35" s="11">
        <v>2023</v>
      </c>
      <c r="B35" s="14" t="s">
        <v>99</v>
      </c>
      <c r="C35" s="14" t="s">
        <v>100</v>
      </c>
      <c r="D35" s="7">
        <v>21234.400169345201</v>
      </c>
      <c r="E35" s="7">
        <v>16.3151649694856</v>
      </c>
      <c r="F35" s="7">
        <v>4.9081979014227999E-2</v>
      </c>
      <c r="G35" s="7">
        <v>1.30885277371274E-3</v>
      </c>
      <c r="H35" s="7">
        <v>346.442741790941</v>
      </c>
      <c r="I35" s="7">
        <v>1.04222638349152</v>
      </c>
      <c r="J35" s="7">
        <v>2.7792703559773799E-2</v>
      </c>
      <c r="K35" s="7">
        <v>4339.2032471064103</v>
      </c>
      <c r="L35" s="7">
        <v>4.8936173209921296</v>
      </c>
    </row>
    <row r="36" spans="1:12" x14ac:dyDescent="0.3">
      <c r="A36" s="12">
        <v>2024</v>
      </c>
      <c r="B36" s="5" t="s">
        <v>99</v>
      </c>
      <c r="C36" s="5" t="s">
        <v>100</v>
      </c>
      <c r="D36" s="8">
        <v>84331.018384354596</v>
      </c>
      <c r="E36" s="8">
        <v>18.647898822526301</v>
      </c>
      <c r="F36" s="8">
        <v>4.9365700930207E-2</v>
      </c>
      <c r="G36" s="8">
        <v>1.31641869147219E-3</v>
      </c>
      <c r="H36" s="8">
        <v>1572.5962984320499</v>
      </c>
      <c r="I36" s="8">
        <v>4.1630598327018404</v>
      </c>
      <c r="J36" s="8">
        <v>0.111014928872049</v>
      </c>
      <c r="K36" s="8">
        <v>4338.66051925991</v>
      </c>
      <c r="L36" s="8">
        <v>19.437109220690999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.77734375" customWidth="1"/>
    <col min="2" max="2" width="11.77734375" customWidth="1"/>
    <col min="3" max="3" width="4.109375" customWidth="1"/>
    <col min="4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99</v>
      </c>
      <c r="C2" s="13" t="s">
        <v>100</v>
      </c>
      <c r="D2" s="6">
        <v>444</v>
      </c>
      <c r="E2" s="6">
        <v>21.1616175191553</v>
      </c>
      <c r="F2" s="6">
        <v>6.3390441261969396E-2</v>
      </c>
      <c r="G2" s="6">
        <v>3.5067052613004298E-3</v>
      </c>
      <c r="H2" s="6">
        <v>9.3957581785049609</v>
      </c>
      <c r="I2" s="6">
        <v>2.8145355920314401E-2</v>
      </c>
      <c r="J2" s="6">
        <v>1.55697713601739E-3</v>
      </c>
      <c r="K2" s="6">
        <v>6869.234375</v>
      </c>
      <c r="L2" s="6">
        <v>6.4636024302198905E-2</v>
      </c>
    </row>
    <row r="3" spans="1:12" x14ac:dyDescent="0.3">
      <c r="A3" s="11">
        <v>1991</v>
      </c>
      <c r="B3" s="14" t="s">
        <v>99</v>
      </c>
      <c r="C3" s="14" t="s">
        <v>100</v>
      </c>
      <c r="D3" s="7">
        <v>277</v>
      </c>
      <c r="E3" s="7">
        <v>21.162197432274699</v>
      </c>
      <c r="F3" s="7">
        <v>6.3392178414079695E-2</v>
      </c>
      <c r="G3" s="7">
        <v>3.50680135907675E-3</v>
      </c>
      <c r="H3" s="7">
        <v>5.8619286887400897</v>
      </c>
      <c r="I3" s="7">
        <v>1.7559633420700101E-2</v>
      </c>
      <c r="J3" s="7">
        <v>9.7138397646425899E-4</v>
      </c>
      <c r="K3" s="7">
        <v>6874.2428124999997</v>
      </c>
      <c r="L3" s="7">
        <v>4.0295347073907299E-2</v>
      </c>
    </row>
    <row r="4" spans="1:12" x14ac:dyDescent="0.3">
      <c r="A4" s="11">
        <v>1992</v>
      </c>
      <c r="B4" s="14" t="s">
        <v>99</v>
      </c>
      <c r="C4" s="14" t="s">
        <v>100</v>
      </c>
      <c r="D4" s="7">
        <v>729</v>
      </c>
      <c r="E4" s="7">
        <v>21.162777345394101</v>
      </c>
      <c r="F4" s="7">
        <v>6.3393915566190007E-2</v>
      </c>
      <c r="G4" s="7">
        <v>3.5068974568530599E-3</v>
      </c>
      <c r="H4" s="7">
        <v>15.427664684792299</v>
      </c>
      <c r="I4" s="7">
        <v>4.6214164447752497E-2</v>
      </c>
      <c r="J4" s="7">
        <v>2.55652824604588E-3</v>
      </c>
      <c r="K4" s="7">
        <v>6879.2512500000003</v>
      </c>
      <c r="L4" s="7">
        <v>0.105970835125407</v>
      </c>
    </row>
    <row r="5" spans="1:12" x14ac:dyDescent="0.3">
      <c r="A5" s="11">
        <v>1993</v>
      </c>
      <c r="B5" s="14" t="s">
        <v>99</v>
      </c>
      <c r="C5" s="14" t="s">
        <v>100</v>
      </c>
      <c r="D5" s="7">
        <v>518</v>
      </c>
      <c r="E5" s="7">
        <v>21.1633572585134</v>
      </c>
      <c r="F5" s="7">
        <v>6.3395652718300305E-2</v>
      </c>
      <c r="G5" s="7">
        <v>3.5069935546293801E-3</v>
      </c>
      <c r="H5" s="7">
        <v>10.962619059910001</v>
      </c>
      <c r="I5" s="7">
        <v>3.2838948108079601E-2</v>
      </c>
      <c r="J5" s="7">
        <v>1.81662266129802E-3</v>
      </c>
      <c r="K5" s="7">
        <v>6884.2596874999999</v>
      </c>
      <c r="L5" s="7">
        <v>7.5244110988513593E-2</v>
      </c>
    </row>
    <row r="6" spans="1:12" x14ac:dyDescent="0.3">
      <c r="A6" s="11">
        <v>1994</v>
      </c>
      <c r="B6" s="14" t="s">
        <v>99</v>
      </c>
      <c r="C6" s="14" t="s">
        <v>100</v>
      </c>
      <c r="D6" s="7">
        <v>312</v>
      </c>
      <c r="E6" s="7">
        <v>21.163937171632799</v>
      </c>
      <c r="F6" s="7">
        <v>6.3397389870410603E-2</v>
      </c>
      <c r="G6" s="7">
        <v>3.5070896524056899E-3</v>
      </c>
      <c r="H6" s="7">
        <v>6.6031483975494396</v>
      </c>
      <c r="I6" s="7">
        <v>1.97799856395681E-2</v>
      </c>
      <c r="J6" s="7">
        <v>1.0942119715505801E-3</v>
      </c>
      <c r="K6" s="7">
        <v>6889.2681249999996</v>
      </c>
      <c r="L6" s="7">
        <v>4.5287829467371803E-2</v>
      </c>
    </row>
    <row r="7" spans="1:12" x14ac:dyDescent="0.3">
      <c r="A7" s="11">
        <v>1995</v>
      </c>
      <c r="B7" s="14" t="s">
        <v>99</v>
      </c>
      <c r="C7" s="14" t="s">
        <v>100</v>
      </c>
      <c r="D7" s="7">
        <v>208</v>
      </c>
      <c r="E7" s="7">
        <v>21.164517084752202</v>
      </c>
      <c r="F7" s="7">
        <v>6.3399127022520901E-2</v>
      </c>
      <c r="G7" s="7">
        <v>3.5071857501820102E-3</v>
      </c>
      <c r="H7" s="7">
        <v>4.4022195536284503</v>
      </c>
      <c r="I7" s="7">
        <v>1.31870184206843E-2</v>
      </c>
      <c r="J7" s="7">
        <v>7.2949463603785695E-4</v>
      </c>
      <c r="K7" s="7">
        <v>6894.2765625000002</v>
      </c>
      <c r="L7" s="7">
        <v>3.01699530203609E-2</v>
      </c>
    </row>
    <row r="8" spans="1:12" x14ac:dyDescent="0.3">
      <c r="A8" s="11">
        <v>1996</v>
      </c>
      <c r="B8" s="14" t="s">
        <v>99</v>
      </c>
      <c r="C8" s="14" t="s">
        <v>100</v>
      </c>
      <c r="D8" s="7">
        <v>227</v>
      </c>
      <c r="E8" s="7">
        <v>21.165096997871601</v>
      </c>
      <c r="F8" s="7">
        <v>6.34008641746312E-2</v>
      </c>
      <c r="G8" s="7">
        <v>3.50728184795832E-3</v>
      </c>
      <c r="H8" s="7">
        <v>4.8044770185168399</v>
      </c>
      <c r="I8" s="7">
        <v>1.4391996167641301E-2</v>
      </c>
      <c r="J8" s="7">
        <v>7.9615297948653805E-4</v>
      </c>
      <c r="K8" s="7">
        <v>6899.2849999999999</v>
      </c>
      <c r="L8" s="7">
        <v>3.2901960130651199E-2</v>
      </c>
    </row>
    <row r="9" spans="1:12" x14ac:dyDescent="0.3">
      <c r="A9" s="11">
        <v>1997</v>
      </c>
      <c r="B9" s="14" t="s">
        <v>99</v>
      </c>
      <c r="C9" s="14" t="s">
        <v>100</v>
      </c>
      <c r="D9" s="7">
        <v>68</v>
      </c>
      <c r="E9" s="7">
        <v>21.1656769109909</v>
      </c>
      <c r="F9" s="7">
        <v>6.3402601326741498E-2</v>
      </c>
      <c r="G9" s="7">
        <v>3.5073779457346298E-3</v>
      </c>
      <c r="H9" s="7">
        <v>1.4392660299473801</v>
      </c>
      <c r="I9" s="7">
        <v>4.3113768902184203E-3</v>
      </c>
      <c r="J9" s="7">
        <v>2.38501700309955E-4</v>
      </c>
      <c r="K9" s="7">
        <v>6904.2934375000004</v>
      </c>
      <c r="L9" s="7">
        <v>9.8489440832083709E-3</v>
      </c>
    </row>
    <row r="10" spans="1:12" x14ac:dyDescent="0.3">
      <c r="A10" s="11">
        <v>1998</v>
      </c>
      <c r="B10" s="14" t="s">
        <v>99</v>
      </c>
      <c r="C10" s="14" t="s">
        <v>100</v>
      </c>
      <c r="D10" s="7">
        <v>137</v>
      </c>
      <c r="E10" s="7">
        <v>21.166256824110299</v>
      </c>
      <c r="F10" s="7">
        <v>6.3404338478851796E-2</v>
      </c>
      <c r="G10" s="7">
        <v>3.5074740435109501E-3</v>
      </c>
      <c r="H10" s="7">
        <v>2.89977718490311</v>
      </c>
      <c r="I10" s="7">
        <v>8.6863943716026897E-3</v>
      </c>
      <c r="J10" s="7">
        <v>4.8052394396099998E-4</v>
      </c>
      <c r="K10" s="7">
        <v>6909.3018750000001</v>
      </c>
      <c r="L10" s="7">
        <v>1.9828341919131999E-2</v>
      </c>
    </row>
    <row r="11" spans="1:12" x14ac:dyDescent="0.3">
      <c r="A11" s="11">
        <v>1999</v>
      </c>
      <c r="B11" s="14" t="s">
        <v>99</v>
      </c>
      <c r="C11" s="14" t="s">
        <v>100</v>
      </c>
      <c r="D11" s="7">
        <v>379</v>
      </c>
      <c r="E11" s="7">
        <v>21.166836737229701</v>
      </c>
      <c r="F11" s="7">
        <v>6.3406075630962094E-2</v>
      </c>
      <c r="G11" s="7">
        <v>3.5075701412872599E-3</v>
      </c>
      <c r="H11" s="7">
        <v>8.0222311234100392</v>
      </c>
      <c r="I11" s="7">
        <v>2.4030902664134601E-2</v>
      </c>
      <c r="J11" s="7">
        <v>1.32936908354787E-3</v>
      </c>
      <c r="K11" s="7">
        <v>6914.3103124999998</v>
      </c>
      <c r="L11" s="7">
        <v>5.4813854581392901E-2</v>
      </c>
    </row>
    <row r="12" spans="1:12" x14ac:dyDescent="0.3">
      <c r="A12" s="11">
        <v>2000</v>
      </c>
      <c r="B12" s="14" t="s">
        <v>99</v>
      </c>
      <c r="C12" s="14" t="s">
        <v>100</v>
      </c>
      <c r="D12" s="7">
        <v>3607</v>
      </c>
      <c r="E12" s="7">
        <v>21.1674166503491</v>
      </c>
      <c r="F12" s="7">
        <v>6.3407812783072295E-2</v>
      </c>
      <c r="G12" s="7">
        <v>3.5076662390635801E-3</v>
      </c>
      <c r="H12" s="7">
        <v>76.350871857808997</v>
      </c>
      <c r="I12" s="7">
        <v>0.22871198070854201</v>
      </c>
      <c r="J12" s="7">
        <v>1.2652152124302299E-2</v>
      </c>
      <c r="K12" s="7">
        <v>6919.3187500000004</v>
      </c>
      <c r="L12" s="7">
        <v>0.52129409416208805</v>
      </c>
    </row>
    <row r="13" spans="1:12" x14ac:dyDescent="0.3">
      <c r="A13" s="11">
        <v>2001</v>
      </c>
      <c r="B13" s="14" t="s">
        <v>99</v>
      </c>
      <c r="C13" s="14" t="s">
        <v>100</v>
      </c>
      <c r="D13" s="7">
        <v>1001</v>
      </c>
      <c r="E13" s="7">
        <v>21.1679965634684</v>
      </c>
      <c r="F13" s="7">
        <v>6.3409549935182594E-2</v>
      </c>
      <c r="G13" s="7">
        <v>3.50776233683989E-3</v>
      </c>
      <c r="H13" s="7">
        <v>21.189164560031902</v>
      </c>
      <c r="I13" s="7">
        <v>6.3472959485117803E-2</v>
      </c>
      <c r="J13" s="7">
        <v>3.5112700991767301E-3</v>
      </c>
      <c r="K13" s="7">
        <v>6924.3271875</v>
      </c>
      <c r="L13" s="7">
        <v>0.14456278175402101</v>
      </c>
    </row>
    <row r="14" spans="1:12" x14ac:dyDescent="0.3">
      <c r="A14" s="11">
        <v>2002</v>
      </c>
      <c r="B14" s="14" t="s">
        <v>99</v>
      </c>
      <c r="C14" s="14" t="s">
        <v>100</v>
      </c>
      <c r="D14" s="7">
        <v>3536</v>
      </c>
      <c r="E14" s="7">
        <v>21.168576476587798</v>
      </c>
      <c r="F14" s="7">
        <v>6.3411287087292906E-2</v>
      </c>
      <c r="G14" s="7">
        <v>3.5078584346162102E-3</v>
      </c>
      <c r="H14" s="7">
        <v>74.852086421214395</v>
      </c>
      <c r="I14" s="7">
        <v>0.22422231114066801</v>
      </c>
      <c r="J14" s="7">
        <v>1.2403787424802901E-2</v>
      </c>
      <c r="K14" s="7">
        <v>6929.3356249999997</v>
      </c>
      <c r="L14" s="7">
        <v>0.51029423185141198</v>
      </c>
    </row>
    <row r="15" spans="1:12" x14ac:dyDescent="0.3">
      <c r="A15" s="11">
        <v>2003</v>
      </c>
      <c r="B15" s="14" t="s">
        <v>99</v>
      </c>
      <c r="C15" s="14" t="s">
        <v>100</v>
      </c>
      <c r="D15" s="7">
        <v>762</v>
      </c>
      <c r="E15" s="7">
        <v>21.169156389707201</v>
      </c>
      <c r="F15" s="7">
        <v>6.3413024239403204E-2</v>
      </c>
      <c r="G15" s="7">
        <v>3.50795453239252E-3</v>
      </c>
      <c r="H15" s="7">
        <v>16.130897168956899</v>
      </c>
      <c r="I15" s="7">
        <v>4.8320724470425298E-2</v>
      </c>
      <c r="J15" s="7">
        <v>2.6730613536831002E-3</v>
      </c>
      <c r="K15" s="7">
        <v>6934.3440625000003</v>
      </c>
      <c r="L15" s="7">
        <v>0.109887826899273</v>
      </c>
    </row>
    <row r="16" spans="1:12" x14ac:dyDescent="0.3">
      <c r="A16" s="11">
        <v>2004</v>
      </c>
      <c r="B16" s="14" t="s">
        <v>99</v>
      </c>
      <c r="C16" s="14" t="s">
        <v>100</v>
      </c>
      <c r="D16" s="7">
        <v>124</v>
      </c>
      <c r="E16" s="7">
        <v>21.1697363028265</v>
      </c>
      <c r="F16" s="7">
        <v>6.3414761391513502E-2</v>
      </c>
      <c r="G16" s="7">
        <v>3.5080506301688298E-3</v>
      </c>
      <c r="H16" s="7">
        <v>2.6250473015504898</v>
      </c>
      <c r="I16" s="7">
        <v>7.8634304125476794E-3</v>
      </c>
      <c r="J16" s="7">
        <v>4.3499827814093501E-4</v>
      </c>
      <c r="K16" s="7">
        <v>6939.3525</v>
      </c>
      <c r="L16" s="7">
        <v>1.7869102340600199E-2</v>
      </c>
    </row>
    <row r="17" spans="1:12" x14ac:dyDescent="0.3">
      <c r="A17" s="11">
        <v>2005</v>
      </c>
      <c r="B17" s="14" t="s">
        <v>99</v>
      </c>
      <c r="C17" s="14" t="s">
        <v>100</v>
      </c>
      <c r="D17" s="7">
        <v>162</v>
      </c>
      <c r="E17" s="7">
        <v>21.170316215945899</v>
      </c>
      <c r="F17" s="7">
        <v>6.34164985436238E-2</v>
      </c>
      <c r="G17" s="7">
        <v>3.5081467279451501E-3</v>
      </c>
      <c r="H17" s="7">
        <v>3.42959122698324</v>
      </c>
      <c r="I17" s="7">
        <v>1.02734727640671E-2</v>
      </c>
      <c r="J17" s="7">
        <v>5.68319769927114E-4</v>
      </c>
      <c r="K17" s="7">
        <v>6944.3609374999996</v>
      </c>
      <c r="L17" s="7">
        <v>2.33282805225733E-2</v>
      </c>
    </row>
    <row r="18" spans="1:12" x14ac:dyDescent="0.3">
      <c r="A18" s="11">
        <v>2006</v>
      </c>
      <c r="B18" s="14" t="s">
        <v>99</v>
      </c>
      <c r="C18" s="14" t="s">
        <v>100</v>
      </c>
      <c r="D18" s="7">
        <v>946</v>
      </c>
      <c r="E18" s="7">
        <v>21.170896129065301</v>
      </c>
      <c r="F18" s="7">
        <v>6.3418235695734099E-2</v>
      </c>
      <c r="G18" s="7">
        <v>3.5082428257214599E-3</v>
      </c>
      <c r="H18" s="7">
        <v>20.027667738095801</v>
      </c>
      <c r="I18" s="7">
        <v>5.9993650968164502E-2</v>
      </c>
      <c r="J18" s="7">
        <v>3.3187977131325002E-3</v>
      </c>
      <c r="K18" s="7">
        <v>6949.3693750000002</v>
      </c>
      <c r="L18" s="7">
        <v>0.13612745976680801</v>
      </c>
    </row>
    <row r="19" spans="1:12" x14ac:dyDescent="0.3">
      <c r="A19" s="11">
        <v>2007</v>
      </c>
      <c r="B19" s="14" t="s">
        <v>99</v>
      </c>
      <c r="C19" s="14" t="s">
        <v>100</v>
      </c>
      <c r="D19" s="7">
        <v>2529</v>
      </c>
      <c r="E19" s="7">
        <v>21.1714760421847</v>
      </c>
      <c r="F19" s="7">
        <v>6.3419972847844397E-2</v>
      </c>
      <c r="G19" s="7">
        <v>3.5083389234977802E-3</v>
      </c>
      <c r="H19" s="7">
        <v>53.542662910685003</v>
      </c>
      <c r="I19" s="7">
        <v>0.16038911133219899</v>
      </c>
      <c r="J19" s="7">
        <v>8.8725891375258797E-3</v>
      </c>
      <c r="K19" s="7">
        <v>6954.3778124999999</v>
      </c>
      <c r="L19" s="7">
        <v>0.36365582488979897</v>
      </c>
    </row>
    <row r="20" spans="1:12" x14ac:dyDescent="0.3">
      <c r="A20" s="11">
        <v>2008</v>
      </c>
      <c r="B20" s="14" t="s">
        <v>99</v>
      </c>
      <c r="C20" s="14" t="s">
        <v>100</v>
      </c>
      <c r="D20" s="7">
        <v>373</v>
      </c>
      <c r="E20" s="7">
        <v>21.172055955304</v>
      </c>
      <c r="F20" s="7">
        <v>6.3421709999954695E-2</v>
      </c>
      <c r="G20" s="7">
        <v>3.50843502127409E-3</v>
      </c>
      <c r="H20" s="7">
        <v>7.8971768713283996</v>
      </c>
      <c r="I20" s="7">
        <v>2.3656297829983099E-2</v>
      </c>
      <c r="J20" s="7">
        <v>1.3086462629352401E-3</v>
      </c>
      <c r="K20" s="7">
        <v>6959.3862499999996</v>
      </c>
      <c r="L20" s="7">
        <v>5.3596680310709903E-2</v>
      </c>
    </row>
    <row r="21" spans="1:12" x14ac:dyDescent="0.3">
      <c r="A21" s="11">
        <v>2009</v>
      </c>
      <c r="B21" s="14" t="s">
        <v>99</v>
      </c>
      <c r="C21" s="14" t="s">
        <v>100</v>
      </c>
      <c r="D21" s="7">
        <v>974</v>
      </c>
      <c r="E21" s="7">
        <v>21.172635868423399</v>
      </c>
      <c r="F21" s="7">
        <v>6.3423447152064993E-2</v>
      </c>
      <c r="G21" s="7">
        <v>3.5085311190503998E-3</v>
      </c>
      <c r="H21" s="7">
        <v>20.622147335844399</v>
      </c>
      <c r="I21" s="7">
        <v>6.1774437526111302E-2</v>
      </c>
      <c r="J21" s="7">
        <v>3.4173093099550901E-3</v>
      </c>
      <c r="K21" s="7">
        <v>6964.3946875000001</v>
      </c>
      <c r="L21" s="7">
        <v>0.13985422189643801</v>
      </c>
    </row>
    <row r="22" spans="1:12" x14ac:dyDescent="0.3">
      <c r="A22" s="11">
        <v>2010</v>
      </c>
      <c r="B22" s="14" t="s">
        <v>99</v>
      </c>
      <c r="C22" s="14" t="s">
        <v>100</v>
      </c>
      <c r="D22" s="7">
        <v>206</v>
      </c>
      <c r="E22" s="7">
        <v>21.173215781542801</v>
      </c>
      <c r="F22" s="7">
        <v>6.3425184304175306E-2</v>
      </c>
      <c r="G22" s="7">
        <v>3.50862721682672E-3</v>
      </c>
      <c r="H22" s="7">
        <v>4.3616824509978098</v>
      </c>
      <c r="I22" s="7">
        <v>1.3065587966660099E-2</v>
      </c>
      <c r="J22" s="7">
        <v>7.2277720666630405E-4</v>
      </c>
      <c r="K22" s="7">
        <v>6969.4031249999998</v>
      </c>
      <c r="L22" s="7">
        <v>2.9557767904263701E-2</v>
      </c>
    </row>
    <row r="23" spans="1:12" x14ac:dyDescent="0.3">
      <c r="A23" s="11">
        <v>2011</v>
      </c>
      <c r="B23" s="14" t="s">
        <v>99</v>
      </c>
      <c r="C23" s="14" t="s">
        <v>100</v>
      </c>
      <c r="D23" s="7">
        <v>2195</v>
      </c>
      <c r="E23" s="7">
        <v>21.1737956946622</v>
      </c>
      <c r="F23" s="7">
        <v>6.3426921456285604E-2</v>
      </c>
      <c r="G23" s="7">
        <v>3.5087233146030299E-3</v>
      </c>
      <c r="H23" s="7">
        <v>46.476481549783401</v>
      </c>
      <c r="I23" s="7">
        <v>0.139222092596547</v>
      </c>
      <c r="J23" s="7">
        <v>7.7016476755536597E-3</v>
      </c>
      <c r="K23" s="7">
        <v>6974.4115625000004</v>
      </c>
      <c r="L23" s="7">
        <v>0.314721891636288</v>
      </c>
    </row>
    <row r="24" spans="1:12" x14ac:dyDescent="0.3">
      <c r="A24" s="11">
        <v>2012</v>
      </c>
      <c r="B24" s="14" t="s">
        <v>99</v>
      </c>
      <c r="C24" s="14" t="s">
        <v>100</v>
      </c>
      <c r="D24" s="7">
        <v>6624</v>
      </c>
      <c r="E24" s="7">
        <v>21.174375607781499</v>
      </c>
      <c r="F24" s="7">
        <v>6.3428658608395902E-2</v>
      </c>
      <c r="G24" s="7">
        <v>3.5088194123793501E-3</v>
      </c>
      <c r="H24" s="7">
        <v>140.25906402594501</v>
      </c>
      <c r="I24" s="7">
        <v>0.42015143462201399</v>
      </c>
      <c r="J24" s="7">
        <v>2.3242419787600801E-2</v>
      </c>
      <c r="K24" s="7">
        <v>6979.42</v>
      </c>
      <c r="L24" s="7">
        <v>0.94907599771900797</v>
      </c>
    </row>
    <row r="25" spans="1:12" x14ac:dyDescent="0.3">
      <c r="A25" s="11">
        <v>2013</v>
      </c>
      <c r="B25" s="14" t="s">
        <v>99</v>
      </c>
      <c r="C25" s="14" t="s">
        <v>100</v>
      </c>
      <c r="D25" s="7">
        <v>421</v>
      </c>
      <c r="E25" s="7">
        <v>21.174683447008601</v>
      </c>
      <c r="F25" s="7">
        <v>6.34295807526708E-2</v>
      </c>
      <c r="G25" s="7">
        <v>3.5088704246158302E-3</v>
      </c>
      <c r="H25" s="7">
        <v>8.9145417311906296</v>
      </c>
      <c r="I25" s="7">
        <v>2.6703853496874399E-2</v>
      </c>
      <c r="J25" s="7">
        <v>1.4772344487632601E-3</v>
      </c>
      <c r="K25" s="7">
        <v>6980.6760000000004</v>
      </c>
      <c r="L25" s="7">
        <v>6.0309345398640503E-2</v>
      </c>
    </row>
    <row r="26" spans="1:12" x14ac:dyDescent="0.3">
      <c r="A26" s="11">
        <v>2014</v>
      </c>
      <c r="B26" s="14" t="s">
        <v>99</v>
      </c>
      <c r="C26" s="14" t="s">
        <v>100</v>
      </c>
      <c r="D26" s="7">
        <v>217</v>
      </c>
      <c r="E26" s="7">
        <v>20.203578713347301</v>
      </c>
      <c r="F26" s="7">
        <v>6.0520599077585897E-2</v>
      </c>
      <c r="G26" s="7">
        <v>3.3479480340792198E-3</v>
      </c>
      <c r="H26" s="7">
        <v>4.3841765807963604</v>
      </c>
      <c r="I26" s="7">
        <v>1.3132969999836101E-2</v>
      </c>
      <c r="J26" s="7">
        <v>7.2650472339519097E-4</v>
      </c>
      <c r="K26" s="7">
        <v>6981.9319999999998</v>
      </c>
      <c r="L26" s="7">
        <v>3.1080222494289499E-2</v>
      </c>
    </row>
    <row r="27" spans="1:12" x14ac:dyDescent="0.3">
      <c r="A27" s="11">
        <v>2015</v>
      </c>
      <c r="B27" s="14" t="s">
        <v>99</v>
      </c>
      <c r="C27" s="14" t="s">
        <v>100</v>
      </c>
      <c r="D27" s="7">
        <v>1671</v>
      </c>
      <c r="E27" s="7">
        <v>20.1789160053135</v>
      </c>
      <c r="F27" s="7">
        <v>6.04467209846868E-2</v>
      </c>
      <c r="G27" s="7">
        <v>3.3438611608550099E-3</v>
      </c>
      <c r="H27" s="7">
        <v>33.718968644878899</v>
      </c>
      <c r="I27" s="7">
        <v>0.101006470765412</v>
      </c>
      <c r="J27" s="7">
        <v>5.5875919997887304E-3</v>
      </c>
      <c r="K27" s="7">
        <v>6983.1880000000001</v>
      </c>
      <c r="L27" s="7">
        <v>0.239288989498779</v>
      </c>
    </row>
    <row r="28" spans="1:12" x14ac:dyDescent="0.3">
      <c r="A28" s="11">
        <v>2016</v>
      </c>
      <c r="B28" s="14" t="s">
        <v>99</v>
      </c>
      <c r="C28" s="14" t="s">
        <v>100</v>
      </c>
      <c r="D28" s="7">
        <v>675</v>
      </c>
      <c r="E28" s="7">
        <v>20.4096852163688</v>
      </c>
      <c r="F28" s="7">
        <v>6.11379990547695E-2</v>
      </c>
      <c r="G28" s="7">
        <v>3.3821020753702301E-3</v>
      </c>
      <c r="H28" s="7">
        <v>13.776537521048899</v>
      </c>
      <c r="I28" s="7">
        <v>4.1268149361969403E-2</v>
      </c>
      <c r="J28" s="7">
        <v>2.2829189008749E-3</v>
      </c>
      <c r="K28" s="7">
        <v>6984.4440000000004</v>
      </c>
      <c r="L28" s="7">
        <v>9.6643340543642403E-2</v>
      </c>
    </row>
    <row r="29" spans="1:12" x14ac:dyDescent="0.3">
      <c r="A29" s="11">
        <v>2017</v>
      </c>
      <c r="B29" s="14" t="s">
        <v>99</v>
      </c>
      <c r="C29" s="14" t="s">
        <v>100</v>
      </c>
      <c r="D29" s="7">
        <v>2459</v>
      </c>
      <c r="E29" s="7">
        <v>20.250285477436499</v>
      </c>
      <c r="F29" s="7">
        <v>6.0660510990408999E-2</v>
      </c>
      <c r="G29" s="7">
        <v>3.35568784202263E-3</v>
      </c>
      <c r="H29" s="7">
        <v>49.795451989016399</v>
      </c>
      <c r="I29" s="7">
        <v>0.14916419652541599</v>
      </c>
      <c r="J29" s="7">
        <v>8.2516364035336402E-3</v>
      </c>
      <c r="K29" s="7">
        <v>6985.7</v>
      </c>
      <c r="L29" s="7">
        <v>0.35200480982578702</v>
      </c>
    </row>
    <row r="30" spans="1:12" x14ac:dyDescent="0.3">
      <c r="A30" s="11">
        <v>2018</v>
      </c>
      <c r="B30" s="14" t="s">
        <v>99</v>
      </c>
      <c r="C30" s="14" t="s">
        <v>100</v>
      </c>
      <c r="D30" s="7">
        <v>1341</v>
      </c>
      <c r="E30" s="7">
        <v>20.4408469617407</v>
      </c>
      <c r="F30" s="7">
        <v>6.1231345264615197E-2</v>
      </c>
      <c r="G30" s="7">
        <v>3.3872659082553099E-3</v>
      </c>
      <c r="H30" s="7">
        <v>27.4111757756943</v>
      </c>
      <c r="I30" s="7">
        <v>8.2111233999849001E-2</v>
      </c>
      <c r="J30" s="7">
        <v>4.5423235829703699E-3</v>
      </c>
      <c r="K30" s="7">
        <v>6986.9559999999901</v>
      </c>
      <c r="L30" s="7">
        <v>0.19192907469289899</v>
      </c>
    </row>
    <row r="31" spans="1:12" x14ac:dyDescent="0.3">
      <c r="A31" s="11">
        <v>2019</v>
      </c>
      <c r="B31" s="14" t="s">
        <v>99</v>
      </c>
      <c r="C31" s="14" t="s">
        <v>100</v>
      </c>
      <c r="D31" s="7">
        <v>2496</v>
      </c>
      <c r="E31" s="7">
        <v>20.5288926721623</v>
      </c>
      <c r="F31" s="7">
        <v>6.1495089585189698E-2</v>
      </c>
      <c r="G31" s="7">
        <v>3.4018560196062398E-3</v>
      </c>
      <c r="H31" s="7">
        <v>51.2401161097171</v>
      </c>
      <c r="I31" s="7">
        <v>0.153491743604634</v>
      </c>
      <c r="J31" s="7">
        <v>8.4910326249371792E-3</v>
      </c>
      <c r="K31" s="7">
        <v>6988.2119999999904</v>
      </c>
      <c r="L31" s="7">
        <v>0.35717290774807697</v>
      </c>
    </row>
    <row r="32" spans="1:12" x14ac:dyDescent="0.3">
      <c r="A32" s="11">
        <v>2020</v>
      </c>
      <c r="B32" s="14" t="s">
        <v>99</v>
      </c>
      <c r="C32" s="14" t="s">
        <v>100</v>
      </c>
      <c r="D32" s="7">
        <v>5152</v>
      </c>
      <c r="E32" s="7">
        <v>20.622356466476699</v>
      </c>
      <c r="F32" s="7">
        <v>6.1775063984984502E-2</v>
      </c>
      <c r="G32" s="7">
        <v>3.4173439651267999E-3</v>
      </c>
      <c r="H32" s="7">
        <v>106.246380515288</v>
      </c>
      <c r="I32" s="7">
        <v>0.31826512965064002</v>
      </c>
      <c r="J32" s="7">
        <v>1.7606156108333298E-2</v>
      </c>
      <c r="K32" s="7">
        <v>6989.4679999999898</v>
      </c>
      <c r="L32" s="7">
        <v>0.73710903319108201</v>
      </c>
    </row>
    <row r="33" spans="1:12" x14ac:dyDescent="0.3">
      <c r="A33" s="11">
        <v>2021</v>
      </c>
      <c r="B33" s="14" t="s">
        <v>99</v>
      </c>
      <c r="C33" s="14" t="s">
        <v>100</v>
      </c>
      <c r="D33" s="7">
        <v>2101</v>
      </c>
      <c r="E33" s="7">
        <v>20.1886948928341</v>
      </c>
      <c r="F33" s="7">
        <v>6.0476014019324502E-2</v>
      </c>
      <c r="G33" s="7">
        <v>3.34548162660093E-3</v>
      </c>
      <c r="H33" s="7">
        <v>42.416447969844398</v>
      </c>
      <c r="I33" s="7">
        <v>0.127060105454601</v>
      </c>
      <c r="J33" s="7">
        <v>7.0288568974885496E-3</v>
      </c>
      <c r="K33" s="7">
        <v>6990.7239999999902</v>
      </c>
      <c r="L33" s="7">
        <v>0.30054111705740399</v>
      </c>
    </row>
    <row r="34" spans="1:12" x14ac:dyDescent="0.3">
      <c r="A34" s="11">
        <v>2022</v>
      </c>
      <c r="B34" s="14" t="s">
        <v>99</v>
      </c>
      <c r="C34" s="14" t="s">
        <v>100</v>
      </c>
      <c r="D34" s="7">
        <v>13153</v>
      </c>
      <c r="E34" s="7">
        <v>20.5930001024674</v>
      </c>
      <c r="F34" s="7">
        <v>6.1687125864625103E-2</v>
      </c>
      <c r="G34" s="7">
        <v>3.4124793031494699E-3</v>
      </c>
      <c r="H34" s="7">
        <v>270.85973034775299</v>
      </c>
      <c r="I34" s="7">
        <v>0.81137076649741302</v>
      </c>
      <c r="J34" s="7">
        <v>4.4884340274325002E-2</v>
      </c>
      <c r="K34" s="7">
        <v>6991.9799999999896</v>
      </c>
      <c r="L34" s="7">
        <v>1.88115526646244</v>
      </c>
    </row>
    <row r="35" spans="1:12" x14ac:dyDescent="0.3">
      <c r="A35" s="11">
        <v>2023</v>
      </c>
      <c r="B35" s="14" t="s">
        <v>99</v>
      </c>
      <c r="C35" s="14" t="s">
        <v>100</v>
      </c>
      <c r="D35" s="7">
        <v>554</v>
      </c>
      <c r="E35" s="7">
        <v>20.952792517511099</v>
      </c>
      <c r="F35" s="7">
        <v>6.2764897917337401E-2</v>
      </c>
      <c r="G35" s="7">
        <v>3.47210073585271E-3</v>
      </c>
      <c r="H35" s="7">
        <v>11.6078470547012</v>
      </c>
      <c r="I35" s="7">
        <v>3.4771753446204902E-2</v>
      </c>
      <c r="J35" s="7">
        <v>1.9235438076624001E-3</v>
      </c>
      <c r="K35" s="7">
        <v>6993.2359999999899</v>
      </c>
      <c r="L35" s="7">
        <v>7.9219405722901495E-2</v>
      </c>
    </row>
    <row r="36" spans="1:12" x14ac:dyDescent="0.3">
      <c r="A36" s="12">
        <v>2024</v>
      </c>
      <c r="B36" s="5" t="s">
        <v>99</v>
      </c>
      <c r="C36" s="5" t="s">
        <v>100</v>
      </c>
      <c r="D36" s="8">
        <v>3289.1111111111099</v>
      </c>
      <c r="E36" s="8">
        <v>20.507831977456298</v>
      </c>
      <c r="F36" s="8">
        <v>6.1432001462106103E-2</v>
      </c>
      <c r="G36" s="8">
        <v>3.3983660383292702E-3</v>
      </c>
      <c r="H36" s="8">
        <v>67.452538021851097</v>
      </c>
      <c r="I36" s="8">
        <v>0.20205667858680701</v>
      </c>
      <c r="J36" s="8">
        <v>1.11776034962915E-2</v>
      </c>
      <c r="K36" s="8">
        <v>6994.4919999999902</v>
      </c>
      <c r="L36" s="8">
        <v>0.47024302996001899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.77734375" customWidth="1"/>
    <col min="2" max="2" width="11.77734375" customWidth="1"/>
    <col min="3" max="3" width="4.109375" customWidth="1"/>
    <col min="4" max="4" width="7.77734375" customWidth="1"/>
    <col min="5" max="10" width="11.77734375" customWidth="1"/>
    <col min="11" max="11" width="8.77734375" customWidth="1"/>
    <col min="12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99</v>
      </c>
      <c r="C2" s="13" t="s">
        <v>100</v>
      </c>
      <c r="D2" s="6">
        <v>232</v>
      </c>
      <c r="E2" s="6">
        <v>219.343489264597</v>
      </c>
      <c r="F2" s="6">
        <v>0.65705187988757596</v>
      </c>
      <c r="G2" s="6">
        <v>3.6347550802291399E-2</v>
      </c>
      <c r="H2" s="6">
        <v>46.740954665286097</v>
      </c>
      <c r="I2" s="6">
        <v>0.14001433201201</v>
      </c>
      <c r="J2" s="6">
        <v>7.7454736857707901E-3</v>
      </c>
      <c r="K2" s="6">
        <v>1988.989</v>
      </c>
      <c r="L2" s="6">
        <v>0.116642173486128</v>
      </c>
    </row>
    <row r="3" spans="1:12" x14ac:dyDescent="0.3">
      <c r="A3" s="11">
        <v>1991</v>
      </c>
      <c r="B3" s="14" t="s">
        <v>99</v>
      </c>
      <c r="C3" s="14" t="s">
        <v>100</v>
      </c>
      <c r="D3" s="7">
        <v>208</v>
      </c>
      <c r="E3" s="7">
        <v>221.76717422884701</v>
      </c>
      <c r="F3" s="7">
        <v>0.66431212165428899</v>
      </c>
      <c r="G3" s="7">
        <v>3.6749181197896802E-2</v>
      </c>
      <c r="H3" s="7">
        <v>42.446336946632002</v>
      </c>
      <c r="I3" s="7">
        <v>0.12714963903707399</v>
      </c>
      <c r="J3" s="7">
        <v>7.03380981907222E-3</v>
      </c>
      <c r="K3" s="7">
        <v>1989.9639999999999</v>
      </c>
      <c r="L3" s="7">
        <v>0.10452450396087599</v>
      </c>
    </row>
    <row r="4" spans="1:12" x14ac:dyDescent="0.3">
      <c r="A4" s="11">
        <v>1992</v>
      </c>
      <c r="B4" s="14" t="s">
        <v>99</v>
      </c>
      <c r="C4" s="14" t="s">
        <v>100</v>
      </c>
      <c r="D4" s="7">
        <v>474</v>
      </c>
      <c r="E4" s="7">
        <v>225.33575414600799</v>
      </c>
      <c r="F4" s="7">
        <v>0.67500194039913097</v>
      </c>
      <c r="G4" s="7">
        <v>3.7340532873143401E-2</v>
      </c>
      <c r="H4" s="7">
        <v>98.404747159888203</v>
      </c>
      <c r="I4" s="7">
        <v>0.29477521456435601</v>
      </c>
      <c r="J4" s="7">
        <v>1.6306713997177098E-2</v>
      </c>
      <c r="K4" s="7">
        <v>1991.107</v>
      </c>
      <c r="L4" s="7">
        <v>0.23805852724137899</v>
      </c>
    </row>
    <row r="5" spans="1:12" x14ac:dyDescent="0.3">
      <c r="A5" s="11">
        <v>1993</v>
      </c>
      <c r="B5" s="14" t="s">
        <v>99</v>
      </c>
      <c r="C5" s="14" t="s">
        <v>100</v>
      </c>
      <c r="D5" s="7">
        <v>1154</v>
      </c>
      <c r="E5" s="7">
        <v>230.37978120653699</v>
      </c>
      <c r="F5" s="7">
        <v>0.69011151795457304</v>
      </c>
      <c r="G5" s="7">
        <v>3.8176381844295497E-2</v>
      </c>
      <c r="H5" s="7">
        <v>245.41348043118899</v>
      </c>
      <c r="I5" s="7">
        <v>0.73514554367532703</v>
      </c>
      <c r="J5" s="7">
        <v>4.0667625820337297E-2</v>
      </c>
      <c r="K5" s="7">
        <v>1991.463</v>
      </c>
      <c r="L5" s="7">
        <v>0.57947348256030895</v>
      </c>
    </row>
    <row r="6" spans="1:12" x14ac:dyDescent="0.3">
      <c r="A6" s="11">
        <v>1994</v>
      </c>
      <c r="B6" s="14" t="s">
        <v>99</v>
      </c>
      <c r="C6" s="14" t="s">
        <v>100</v>
      </c>
      <c r="D6" s="7">
        <v>38</v>
      </c>
      <c r="E6" s="7">
        <v>234.054974017093</v>
      </c>
      <c r="F6" s="7">
        <v>0.701120699732527</v>
      </c>
      <c r="G6" s="7">
        <v>3.8785400410735603E-2</v>
      </c>
      <c r="H6" s="7">
        <v>8.2572054243135504</v>
      </c>
      <c r="I6" s="7">
        <v>2.47347772430043E-2</v>
      </c>
      <c r="J6" s="7">
        <v>1.36830682620875E-3</v>
      </c>
      <c r="K6" s="7">
        <v>1991.671</v>
      </c>
      <c r="L6" s="7">
        <v>1.9079456396161799E-2</v>
      </c>
    </row>
    <row r="7" spans="1:12" x14ac:dyDescent="0.3">
      <c r="A7" s="11">
        <v>1995</v>
      </c>
      <c r="B7" s="14" t="s">
        <v>99</v>
      </c>
      <c r="C7" s="14" t="s">
        <v>100</v>
      </c>
      <c r="D7" s="7">
        <v>70.42</v>
      </c>
      <c r="E7" s="7">
        <v>237.70877981931201</v>
      </c>
      <c r="F7" s="7">
        <v>0.71206581590233697</v>
      </c>
      <c r="G7" s="7">
        <v>3.9390874922256902E-2</v>
      </c>
      <c r="H7" s="7">
        <v>15.761362618917801</v>
      </c>
      <c r="I7" s="7">
        <v>4.7213769476681801E-2</v>
      </c>
      <c r="J7" s="7">
        <v>2.6118255455185699E-3</v>
      </c>
      <c r="K7" s="7">
        <v>1992.2570000000001</v>
      </c>
      <c r="L7" s="7">
        <v>3.5346845311623999E-2</v>
      </c>
    </row>
    <row r="8" spans="1:12" x14ac:dyDescent="0.3">
      <c r="A8" s="11">
        <v>1996</v>
      </c>
      <c r="B8" s="14" t="s">
        <v>99</v>
      </c>
      <c r="C8" s="14" t="s">
        <v>100</v>
      </c>
      <c r="D8" s="7">
        <v>215</v>
      </c>
      <c r="E8" s="7">
        <v>241.391006916983</v>
      </c>
      <c r="F8" s="7">
        <v>0.72309606915858404</v>
      </c>
      <c r="G8" s="7">
        <v>4.0001059144943001E-2</v>
      </c>
      <c r="H8" s="7">
        <v>48.997362824128501</v>
      </c>
      <c r="I8" s="7">
        <v>0.14677348965800099</v>
      </c>
      <c r="J8" s="7">
        <v>8.11938453427242E-3</v>
      </c>
      <c r="K8" s="7">
        <v>1993.366</v>
      </c>
      <c r="L8" s="7">
        <v>0.107857764203864</v>
      </c>
    </row>
    <row r="9" spans="1:12" x14ac:dyDescent="0.3">
      <c r="A9" s="11">
        <v>1997</v>
      </c>
      <c r="B9" s="14" t="s">
        <v>99</v>
      </c>
      <c r="C9" s="14" t="s">
        <v>100</v>
      </c>
      <c r="D9" s="7">
        <v>35</v>
      </c>
      <c r="E9" s="7">
        <v>244.83168028735801</v>
      </c>
      <c r="F9" s="7">
        <v>0.733402738910505</v>
      </c>
      <c r="G9" s="7">
        <v>4.0571215343985403E-2</v>
      </c>
      <c r="H9" s="7">
        <v>8.0974164767082009</v>
      </c>
      <c r="I9" s="7">
        <v>2.4256123289055801E-2</v>
      </c>
      <c r="J9" s="7">
        <v>1.34182809684138E-3</v>
      </c>
      <c r="K9" s="7">
        <v>1996.373</v>
      </c>
      <c r="L9" s="7">
        <v>1.7531793908252599E-2</v>
      </c>
    </row>
    <row r="10" spans="1:12" x14ac:dyDescent="0.3">
      <c r="A10" s="11">
        <v>1998</v>
      </c>
      <c r="B10" s="14" t="s">
        <v>99</v>
      </c>
      <c r="C10" s="14" t="s">
        <v>100</v>
      </c>
      <c r="D10" s="7">
        <v>32</v>
      </c>
      <c r="E10" s="7">
        <v>248.4947609937</v>
      </c>
      <c r="F10" s="7">
        <v>0.74437563841325105</v>
      </c>
      <c r="G10" s="7">
        <v>4.11782268058394E-2</v>
      </c>
      <c r="H10" s="7">
        <v>7.5355634888056198</v>
      </c>
      <c r="I10" s="7">
        <v>2.2573070998971601E-2</v>
      </c>
      <c r="J10" s="7">
        <v>1.2487230765388601E-3</v>
      </c>
      <c r="K10" s="7">
        <v>1998.2829999999999</v>
      </c>
      <c r="L10" s="7">
        <v>1.60137478024884E-2</v>
      </c>
    </row>
    <row r="11" spans="1:12" x14ac:dyDescent="0.3">
      <c r="A11" s="11">
        <v>1999</v>
      </c>
      <c r="B11" s="14" t="s">
        <v>99</v>
      </c>
      <c r="C11" s="14" t="s">
        <v>100</v>
      </c>
      <c r="D11" s="7">
        <v>2496.52</v>
      </c>
      <c r="E11" s="7">
        <v>254.536509113855</v>
      </c>
      <c r="F11" s="7">
        <v>0.76247392787451695</v>
      </c>
      <c r="G11" s="7">
        <v>4.2179408776037097E-2</v>
      </c>
      <c r="H11" s="7">
        <v>603.37689202526497</v>
      </c>
      <c r="I11" s="7">
        <v>1.8074387460285199</v>
      </c>
      <c r="J11" s="7">
        <v>9.9985973184556404E-2</v>
      </c>
      <c r="K11" s="7">
        <v>2000.088</v>
      </c>
      <c r="L11" s="7">
        <v>1.24820507897653</v>
      </c>
    </row>
    <row r="12" spans="1:12" x14ac:dyDescent="0.3">
      <c r="A12" s="11">
        <v>2000</v>
      </c>
      <c r="B12" s="14" t="s">
        <v>99</v>
      </c>
      <c r="C12" s="14" t="s">
        <v>100</v>
      </c>
      <c r="D12" s="7">
        <v>927.25</v>
      </c>
      <c r="E12" s="7">
        <v>259.59547687865802</v>
      </c>
      <c r="F12" s="7">
        <v>0.77762826088571801</v>
      </c>
      <c r="G12" s="7">
        <v>4.3017733580912099E-2</v>
      </c>
      <c r="H12" s="7">
        <v>233.150321656231</v>
      </c>
      <c r="I12" s="7">
        <v>0.69841077870253798</v>
      </c>
      <c r="J12" s="7">
        <v>3.8635489885672301E-2</v>
      </c>
      <c r="K12" s="7">
        <v>2001.2529999999999</v>
      </c>
      <c r="L12" s="7">
        <v>0.46333472079742</v>
      </c>
    </row>
    <row r="13" spans="1:12" x14ac:dyDescent="0.3">
      <c r="A13" s="11">
        <v>2001</v>
      </c>
      <c r="B13" s="14" t="s">
        <v>99</v>
      </c>
      <c r="C13" s="14" t="s">
        <v>100</v>
      </c>
      <c r="D13" s="7">
        <v>159.15</v>
      </c>
      <c r="E13" s="7">
        <v>262.059321582677</v>
      </c>
      <c r="F13" s="7">
        <v>0.78500880270145501</v>
      </c>
      <c r="G13" s="7">
        <v>4.34260188728465E-2</v>
      </c>
      <c r="H13" s="7">
        <v>40.4915374509538</v>
      </c>
      <c r="I13" s="7">
        <v>0.12129396177149999</v>
      </c>
      <c r="J13" s="7">
        <v>6.7098787362957204E-3</v>
      </c>
      <c r="K13" s="7">
        <v>2002.1289999999999</v>
      </c>
      <c r="L13" s="7">
        <v>7.9490382487841696E-2</v>
      </c>
    </row>
    <row r="14" spans="1:12" x14ac:dyDescent="0.3">
      <c r="A14" s="11">
        <v>2002</v>
      </c>
      <c r="B14" s="14" t="s">
        <v>99</v>
      </c>
      <c r="C14" s="14" t="s">
        <v>100</v>
      </c>
      <c r="D14" s="7">
        <v>595.32000000000005</v>
      </c>
      <c r="E14" s="7">
        <v>266.946661119422</v>
      </c>
      <c r="F14" s="7">
        <v>0.79964901673759403</v>
      </c>
      <c r="G14" s="7">
        <v>4.4235903053569003E-2</v>
      </c>
      <c r="H14" s="7">
        <v>154.421563159877</v>
      </c>
      <c r="I14" s="7">
        <v>0.46257574687789799</v>
      </c>
      <c r="J14" s="7">
        <v>2.5589296635798599E-2</v>
      </c>
      <c r="K14" s="7">
        <v>2002.7729999999999</v>
      </c>
      <c r="L14" s="7">
        <v>0.29724786583402102</v>
      </c>
    </row>
    <row r="15" spans="1:12" x14ac:dyDescent="0.3">
      <c r="A15" s="11">
        <v>2003</v>
      </c>
      <c r="B15" s="14" t="s">
        <v>99</v>
      </c>
      <c r="C15" s="14" t="s">
        <v>100</v>
      </c>
      <c r="D15" s="7">
        <v>1567.84</v>
      </c>
      <c r="E15" s="7">
        <v>269.42801387502601</v>
      </c>
      <c r="F15" s="7">
        <v>0.80708200459695401</v>
      </c>
      <c r="G15" s="7">
        <v>4.4647089616001702E-2</v>
      </c>
      <c r="H15" s="7">
        <v>410.36736370144001</v>
      </c>
      <c r="I15" s="7">
        <v>1.2292712615658199</v>
      </c>
      <c r="J15" s="7">
        <v>6.8002240001513295E-2</v>
      </c>
      <c r="K15" s="7">
        <v>2004.1</v>
      </c>
      <c r="L15" s="7">
        <v>0.78231625168404795</v>
      </c>
    </row>
    <row r="16" spans="1:12" x14ac:dyDescent="0.3">
      <c r="A16" s="11">
        <v>2004</v>
      </c>
      <c r="B16" s="14" t="s">
        <v>99</v>
      </c>
      <c r="C16" s="14" t="s">
        <v>100</v>
      </c>
      <c r="D16" s="7">
        <v>138.87</v>
      </c>
      <c r="E16" s="7">
        <v>273.07943581515099</v>
      </c>
      <c r="F16" s="7">
        <v>0.81801997981594099</v>
      </c>
      <c r="G16" s="7">
        <v>4.5252169096201E-2</v>
      </c>
      <c r="H16" s="7">
        <v>36.871267921001397</v>
      </c>
      <c r="I16" s="7">
        <v>0.11044930479841</v>
      </c>
      <c r="J16" s="7">
        <v>6.1099615420397496E-3</v>
      </c>
      <c r="K16" s="7">
        <v>2004.9259999999999</v>
      </c>
      <c r="L16" s="7">
        <v>6.9264401778419804E-2</v>
      </c>
    </row>
    <row r="17" spans="1:12" x14ac:dyDescent="0.3">
      <c r="A17" s="11">
        <v>2005</v>
      </c>
      <c r="B17" s="14" t="s">
        <v>99</v>
      </c>
      <c r="C17" s="14" t="s">
        <v>100</v>
      </c>
      <c r="D17" s="7">
        <v>527.96</v>
      </c>
      <c r="E17" s="7">
        <v>276.78907068810599</v>
      </c>
      <c r="F17" s="7">
        <v>0.82913233411988396</v>
      </c>
      <c r="G17" s="7">
        <v>4.5866895078972299E-2</v>
      </c>
      <c r="H17" s="7">
        <v>142.26329783549301</v>
      </c>
      <c r="I17" s="7">
        <v>0.426155194280954</v>
      </c>
      <c r="J17" s="7">
        <v>2.3574542662350699E-2</v>
      </c>
      <c r="K17" s="7">
        <v>2005.2339999999999</v>
      </c>
      <c r="L17" s="7">
        <v>0.263290967537953</v>
      </c>
    </row>
    <row r="18" spans="1:12" x14ac:dyDescent="0.3">
      <c r="A18" s="11">
        <v>2006</v>
      </c>
      <c r="B18" s="14" t="s">
        <v>99</v>
      </c>
      <c r="C18" s="14" t="s">
        <v>100</v>
      </c>
      <c r="D18" s="7">
        <v>178.2</v>
      </c>
      <c r="E18" s="7">
        <v>279.29627215979599</v>
      </c>
      <c r="F18" s="7">
        <v>0.836642752804998</v>
      </c>
      <c r="G18" s="7">
        <v>4.6282365048787098E-2</v>
      </c>
      <c r="H18" s="7">
        <v>48.790750929862398</v>
      </c>
      <c r="I18" s="7">
        <v>0.146154575761856</v>
      </c>
      <c r="J18" s="7">
        <v>8.0851467442729294E-3</v>
      </c>
      <c r="K18" s="7">
        <v>2006.94</v>
      </c>
      <c r="L18" s="7">
        <v>8.8791892134294004E-2</v>
      </c>
    </row>
    <row r="19" spans="1:12" x14ac:dyDescent="0.3">
      <c r="A19" s="11">
        <v>2007</v>
      </c>
      <c r="B19" s="14" t="s">
        <v>99</v>
      </c>
      <c r="C19" s="14" t="s">
        <v>100</v>
      </c>
      <c r="D19" s="7">
        <v>680.07</v>
      </c>
      <c r="E19" s="7">
        <v>280.58688193271001</v>
      </c>
      <c r="F19" s="7">
        <v>0.84050882414514705</v>
      </c>
      <c r="G19" s="7">
        <v>4.64962328250507E-2</v>
      </c>
      <c r="H19" s="7">
        <v>187.20890737182901</v>
      </c>
      <c r="I19" s="7">
        <v>0.56079150073141804</v>
      </c>
      <c r="J19" s="7">
        <v>3.1022508551099798E-2</v>
      </c>
      <c r="K19" s="7">
        <v>2007.1420000000001</v>
      </c>
      <c r="L19" s="7">
        <v>0.33882505572600202</v>
      </c>
    </row>
    <row r="20" spans="1:12" x14ac:dyDescent="0.3">
      <c r="A20" s="11">
        <v>2008</v>
      </c>
      <c r="B20" s="14" t="s">
        <v>99</v>
      </c>
      <c r="C20" s="14" t="s">
        <v>100</v>
      </c>
      <c r="D20" s="7">
        <v>117.99299999999999</v>
      </c>
      <c r="E20" s="7">
        <v>284.26604720607003</v>
      </c>
      <c r="F20" s="7">
        <v>0.85152990558860997</v>
      </c>
      <c r="G20" s="7">
        <v>4.71059096708593E-2</v>
      </c>
      <c r="H20" s="7">
        <v>32.954702419509204</v>
      </c>
      <c r="I20" s="7">
        <v>9.8717081817522798E-2</v>
      </c>
      <c r="J20" s="7">
        <v>5.4609449516076396E-3</v>
      </c>
      <c r="K20" s="7">
        <v>2008.2570000000001</v>
      </c>
      <c r="L20" s="7">
        <v>5.8753934381904301E-2</v>
      </c>
    </row>
    <row r="21" spans="1:12" x14ac:dyDescent="0.3">
      <c r="A21" s="11">
        <v>2009</v>
      </c>
      <c r="B21" s="14" t="s">
        <v>99</v>
      </c>
      <c r="C21" s="14" t="s">
        <v>100</v>
      </c>
      <c r="D21" s="7">
        <v>509.96</v>
      </c>
      <c r="E21" s="7">
        <v>286.85287176064202</v>
      </c>
      <c r="F21" s="7">
        <v>0.85927883828872897</v>
      </c>
      <c r="G21" s="7">
        <v>4.75345740329935E-2</v>
      </c>
      <c r="H21" s="7">
        <v>144.34583324304501</v>
      </c>
      <c r="I21" s="7">
        <v>0.43239350939599203</v>
      </c>
      <c r="J21" s="7">
        <v>2.3919640945310201E-2</v>
      </c>
      <c r="K21" s="7">
        <v>2008.8430000000001</v>
      </c>
      <c r="L21" s="7">
        <v>0.25385756875972898</v>
      </c>
    </row>
    <row r="22" spans="1:12" x14ac:dyDescent="0.3">
      <c r="A22" s="11">
        <v>2010</v>
      </c>
      <c r="B22" s="14" t="s">
        <v>99</v>
      </c>
      <c r="C22" s="14" t="s">
        <v>100</v>
      </c>
      <c r="D22" s="7">
        <v>191.96100000000001</v>
      </c>
      <c r="E22" s="7">
        <v>289.35430204479297</v>
      </c>
      <c r="F22" s="7">
        <v>0.86677196915903398</v>
      </c>
      <c r="G22" s="7">
        <v>4.7949087655606203E-2</v>
      </c>
      <c r="H22" s="7">
        <v>54.8343802092188</v>
      </c>
      <c r="I22" s="7">
        <v>0.164258500308049</v>
      </c>
      <c r="J22" s="7">
        <v>9.0866404425729106E-3</v>
      </c>
      <c r="K22" s="7">
        <v>2011.249</v>
      </c>
      <c r="L22" s="7">
        <v>9.5443677038497002E-2</v>
      </c>
    </row>
    <row r="23" spans="1:12" x14ac:dyDescent="0.3">
      <c r="A23" s="11">
        <v>2011</v>
      </c>
      <c r="B23" s="14" t="s">
        <v>99</v>
      </c>
      <c r="C23" s="14" t="s">
        <v>100</v>
      </c>
      <c r="D23" s="7">
        <v>402.55</v>
      </c>
      <c r="E23" s="7">
        <v>291.94536304624103</v>
      </c>
      <c r="F23" s="7">
        <v>0.87453359229912697</v>
      </c>
      <c r="G23" s="7">
        <v>4.8378454042079397E-2</v>
      </c>
      <c r="H23" s="7">
        <v>116.059334603951</v>
      </c>
      <c r="I23" s="7">
        <v>0.34766021200673503</v>
      </c>
      <c r="J23" s="7">
        <v>1.92322670471811E-2</v>
      </c>
      <c r="K23" s="7">
        <v>2012.336</v>
      </c>
      <c r="L23" s="7">
        <v>0.20004114621017599</v>
      </c>
    </row>
    <row r="24" spans="1:12" x14ac:dyDescent="0.3">
      <c r="A24" s="11">
        <v>2012</v>
      </c>
      <c r="B24" s="14" t="s">
        <v>99</v>
      </c>
      <c r="C24" s="14" t="s">
        <v>100</v>
      </c>
      <c r="D24" s="7">
        <v>1683.46</v>
      </c>
      <c r="E24" s="7">
        <v>295.66508671143799</v>
      </c>
      <c r="F24" s="7">
        <v>0.88567616796925297</v>
      </c>
      <c r="G24" s="7">
        <v>4.8994851845107601E-2</v>
      </c>
      <c r="H24" s="7">
        <v>491.45288302071299</v>
      </c>
      <c r="I24" s="7">
        <v>1.4721660613112499</v>
      </c>
      <c r="J24" s="7">
        <v>8.1438973604452097E-2</v>
      </c>
      <c r="K24" s="7">
        <v>2014.059</v>
      </c>
      <c r="L24" s="7">
        <v>0.83585436176397998</v>
      </c>
    </row>
    <row r="25" spans="1:12" x14ac:dyDescent="0.3">
      <c r="A25" s="11">
        <v>2013</v>
      </c>
      <c r="B25" s="14" t="s">
        <v>99</v>
      </c>
      <c r="C25" s="14" t="s">
        <v>100</v>
      </c>
      <c r="D25" s="7">
        <v>270.26</v>
      </c>
      <c r="E25" s="7">
        <v>298.07046423885799</v>
      </c>
      <c r="F25" s="7">
        <v>0.89288156910301497</v>
      </c>
      <c r="G25" s="7">
        <v>4.9393448503571101E-2</v>
      </c>
      <c r="H25" s="7">
        <v>79.5138822542269</v>
      </c>
      <c r="I25" s="7">
        <v>0.23818690031540199</v>
      </c>
      <c r="J25" s="7">
        <v>1.3176296613192501E-2</v>
      </c>
      <c r="K25" s="7">
        <v>2015.3679999999999</v>
      </c>
      <c r="L25" s="7">
        <v>0.13409957883622201</v>
      </c>
    </row>
    <row r="26" spans="1:12" x14ac:dyDescent="0.3">
      <c r="A26" s="11">
        <v>2014</v>
      </c>
      <c r="B26" s="14" t="s">
        <v>99</v>
      </c>
      <c r="C26" s="14" t="s">
        <v>100</v>
      </c>
      <c r="D26" s="7">
        <v>191.73</v>
      </c>
      <c r="E26" s="7">
        <v>298.40922726443301</v>
      </c>
      <c r="F26" s="7">
        <v>0.89389634680869001</v>
      </c>
      <c r="G26" s="7">
        <v>4.9449585142608402E-2</v>
      </c>
      <c r="H26" s="7">
        <v>56.440344486097601</v>
      </c>
      <c r="I26" s="7">
        <v>0.169069228224767</v>
      </c>
      <c r="J26" s="7">
        <v>9.3527658166892205E-3</v>
      </c>
      <c r="K26" s="7">
        <v>2017.105</v>
      </c>
      <c r="L26" s="7">
        <v>9.5052067195312104E-2</v>
      </c>
    </row>
    <row r="27" spans="1:12" x14ac:dyDescent="0.3">
      <c r="A27" s="11">
        <v>2015</v>
      </c>
      <c r="B27" s="14" t="s">
        <v>99</v>
      </c>
      <c r="C27" s="14" t="s">
        <v>100</v>
      </c>
      <c r="D27" s="7">
        <v>352.57</v>
      </c>
      <c r="E27" s="7">
        <v>299.85907318307699</v>
      </c>
      <c r="F27" s="7">
        <v>0.89823941616345604</v>
      </c>
      <c r="G27" s="7">
        <v>4.9689840043084799E-2</v>
      </c>
      <c r="H27" s="7">
        <v>104.17911874062</v>
      </c>
      <c r="I27" s="7">
        <v>0.31207256729185201</v>
      </c>
      <c r="J27" s="7">
        <v>1.7263588828910999E-2</v>
      </c>
      <c r="K27" s="7">
        <v>2020.116</v>
      </c>
      <c r="L27" s="7">
        <v>0.174529581469579</v>
      </c>
    </row>
    <row r="28" spans="1:12" x14ac:dyDescent="0.3">
      <c r="A28" s="11">
        <v>2016</v>
      </c>
      <c r="B28" s="14" t="s">
        <v>99</v>
      </c>
      <c r="C28" s="14" t="s">
        <v>100</v>
      </c>
      <c r="D28" s="7">
        <v>174.88</v>
      </c>
      <c r="E28" s="7">
        <v>301.35964875936702</v>
      </c>
      <c r="F28" s="7">
        <v>0.90273444816381598</v>
      </c>
      <c r="G28" s="7">
        <v>4.9938501387785501E-2</v>
      </c>
      <c r="H28" s="7">
        <v>51.912505150406403</v>
      </c>
      <c r="I28" s="7">
        <v>0.15550591090306601</v>
      </c>
      <c r="J28" s="7">
        <v>8.6024546457015103E-3</v>
      </c>
      <c r="K28" s="7">
        <v>2022.5219999999999</v>
      </c>
      <c r="L28" s="7">
        <v>8.6466302962341104E-2</v>
      </c>
    </row>
    <row r="29" spans="1:12" x14ac:dyDescent="0.3">
      <c r="A29" s="11">
        <v>2017</v>
      </c>
      <c r="B29" s="14" t="s">
        <v>99</v>
      </c>
      <c r="C29" s="14" t="s">
        <v>100</v>
      </c>
      <c r="D29" s="7">
        <v>297.66000000000003</v>
      </c>
      <c r="E29" s="7">
        <v>301.61213208046399</v>
      </c>
      <c r="F29" s="7">
        <v>0.903490771687815</v>
      </c>
      <c r="G29" s="7">
        <v>4.9980340561453597E-2</v>
      </c>
      <c r="H29" s="7">
        <v>88.490881415621999</v>
      </c>
      <c r="I29" s="7">
        <v>0.26507784745278701</v>
      </c>
      <c r="J29" s="7">
        <v>1.46638809229201E-2</v>
      </c>
      <c r="K29" s="7">
        <v>2024.374</v>
      </c>
      <c r="L29" s="7">
        <v>0.14703804731734399</v>
      </c>
    </row>
    <row r="30" spans="1:12" x14ac:dyDescent="0.3">
      <c r="A30" s="11">
        <v>2018</v>
      </c>
      <c r="B30" s="14" t="s">
        <v>99</v>
      </c>
      <c r="C30" s="14" t="s">
        <v>100</v>
      </c>
      <c r="D30" s="7">
        <v>248.38</v>
      </c>
      <c r="E30" s="7">
        <v>301.930537453429</v>
      </c>
      <c r="F30" s="7">
        <v>0.90444456726011102</v>
      </c>
      <c r="G30" s="7">
        <v>5.0033103720772097E-2</v>
      </c>
      <c r="H30" s="7">
        <v>73.932005889179905</v>
      </c>
      <c r="I30" s="7">
        <v>0.221466174429028</v>
      </c>
      <c r="J30" s="7">
        <v>1.2251320287563299E-2</v>
      </c>
      <c r="K30" s="7">
        <v>2026.027</v>
      </c>
      <c r="L30" s="7">
        <v>0.122594614977984</v>
      </c>
    </row>
    <row r="31" spans="1:12" x14ac:dyDescent="0.3">
      <c r="A31" s="11">
        <v>2019</v>
      </c>
      <c r="B31" s="14" t="s">
        <v>99</v>
      </c>
      <c r="C31" s="14" t="s">
        <v>100</v>
      </c>
      <c r="D31" s="7">
        <v>462.17</v>
      </c>
      <c r="E31" s="7">
        <v>303.53411732427401</v>
      </c>
      <c r="F31" s="7">
        <v>0.90924815259661396</v>
      </c>
      <c r="G31" s="7">
        <v>5.0298833973429699E-2</v>
      </c>
      <c r="H31" s="7">
        <v>138.35659309481699</v>
      </c>
      <c r="I31" s="7">
        <v>0.41445250958931801</v>
      </c>
      <c r="J31" s="7">
        <v>2.2927160104940999E-2</v>
      </c>
      <c r="K31" s="7">
        <v>2027.0989999999999</v>
      </c>
      <c r="L31" s="7">
        <v>0.227995771296814</v>
      </c>
    </row>
    <row r="32" spans="1:12" x14ac:dyDescent="0.3">
      <c r="A32" s="11">
        <v>2020</v>
      </c>
      <c r="B32" s="14" t="s">
        <v>99</v>
      </c>
      <c r="C32" s="14" t="s">
        <v>100</v>
      </c>
      <c r="D32" s="7">
        <v>472.68</v>
      </c>
      <c r="E32" s="7">
        <v>303.79046411387299</v>
      </c>
      <c r="F32" s="7">
        <v>0.91001604928948698</v>
      </c>
      <c r="G32" s="7">
        <v>5.0341313364950298E-2</v>
      </c>
      <c r="H32" s="7">
        <v>141.65060262086499</v>
      </c>
      <c r="I32" s="7">
        <v>0.42431984214025997</v>
      </c>
      <c r="J32" s="7">
        <v>2.3473012543929299E-2</v>
      </c>
      <c r="K32" s="7">
        <v>2027.8520000000001</v>
      </c>
      <c r="L32" s="7">
        <v>0.233093933876831</v>
      </c>
    </row>
    <row r="33" spans="1:12" x14ac:dyDescent="0.3">
      <c r="A33" s="11">
        <v>2021</v>
      </c>
      <c r="B33" s="14" t="s">
        <v>99</v>
      </c>
      <c r="C33" s="14" t="s">
        <v>100</v>
      </c>
      <c r="D33" s="7">
        <v>158.94</v>
      </c>
      <c r="E33" s="7">
        <v>305.239388157831</v>
      </c>
      <c r="F33" s="7">
        <v>0.91435635713308105</v>
      </c>
      <c r="G33" s="7">
        <v>5.0581415500978902E-2</v>
      </c>
      <c r="H33" s="7">
        <v>47.866958982806999</v>
      </c>
      <c r="I33" s="7">
        <v>0.14338732136341201</v>
      </c>
      <c r="J33" s="7">
        <v>7.9320645860610599E-3</v>
      </c>
      <c r="K33" s="7">
        <v>2028.509</v>
      </c>
      <c r="L33" s="7">
        <v>7.8353115514893004E-2</v>
      </c>
    </row>
    <row r="34" spans="1:12" x14ac:dyDescent="0.3">
      <c r="A34" s="11">
        <v>2022</v>
      </c>
      <c r="B34" s="14" t="s">
        <v>99</v>
      </c>
      <c r="C34" s="14" t="s">
        <v>100</v>
      </c>
      <c r="D34" s="7">
        <v>1210.55</v>
      </c>
      <c r="E34" s="7">
        <v>302.13057752629601</v>
      </c>
      <c r="F34" s="7">
        <v>0.90504379501184895</v>
      </c>
      <c r="G34" s="7">
        <v>5.0066252490017199E-2</v>
      </c>
      <c r="H34" s="7">
        <v>360.90182121788501</v>
      </c>
      <c r="I34" s="7">
        <v>1.08109532168519</v>
      </c>
      <c r="J34" s="7">
        <v>5.9805273114499798E-2</v>
      </c>
      <c r="K34" s="7">
        <v>2029.0350000000001</v>
      </c>
      <c r="L34" s="7">
        <v>0.59661366117390802</v>
      </c>
    </row>
    <row r="35" spans="1:12" x14ac:dyDescent="0.3">
      <c r="A35" s="11">
        <v>2023</v>
      </c>
      <c r="B35" s="14" t="s">
        <v>99</v>
      </c>
      <c r="C35" s="14" t="s">
        <v>100</v>
      </c>
      <c r="D35" s="7">
        <v>29.46</v>
      </c>
      <c r="E35" s="7">
        <v>305.58662627327499</v>
      </c>
      <c r="F35" s="7">
        <v>0.91539652229725399</v>
      </c>
      <c r="G35" s="7">
        <v>5.0638956552614099E-2</v>
      </c>
      <c r="H35" s="7">
        <v>8.8840499856308703</v>
      </c>
      <c r="I35" s="7">
        <v>2.6612514297300799E-2</v>
      </c>
      <c r="J35" s="7">
        <v>1.47218164197834E-3</v>
      </c>
      <c r="K35" s="7">
        <v>2030.423</v>
      </c>
      <c r="L35" s="7">
        <v>1.45092919061693E-2</v>
      </c>
    </row>
    <row r="36" spans="1:12" x14ac:dyDescent="0.3">
      <c r="A36" s="12">
        <v>2024</v>
      </c>
      <c r="B36" s="5" t="s">
        <v>99</v>
      </c>
      <c r="C36" s="5" t="s">
        <v>100</v>
      </c>
      <c r="D36" s="8">
        <v>81.73</v>
      </c>
      <c r="E36" s="8">
        <v>305.78418384729599</v>
      </c>
      <c r="F36" s="8">
        <v>0.91598831362797295</v>
      </c>
      <c r="G36" s="8">
        <v>5.0671693945377197E-2</v>
      </c>
      <c r="H36" s="8">
        <v>24.6467548723693</v>
      </c>
      <c r="I36" s="8">
        <v>7.3830304588996601E-2</v>
      </c>
      <c r="J36" s="8">
        <v>4.0842296155615201E-3</v>
      </c>
      <c r="K36" s="8">
        <v>2032.799</v>
      </c>
      <c r="L36" s="8">
        <v>4.0205647484084797E-2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3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4.77734375" customWidth="1"/>
    <col min="2" max="2" width="10.109375" customWidth="1"/>
    <col min="3" max="3" width="4.109375" customWidth="1"/>
    <col min="4" max="4" width="7.77734375" customWidth="1"/>
    <col min="5" max="5" width="6.77734375" customWidth="1"/>
    <col min="6" max="7" width="11.77734375" customWidth="1"/>
    <col min="8" max="8" width="5" customWidth="1"/>
    <col min="9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 t="s">
        <v>100</v>
      </c>
      <c r="C2" s="13"/>
      <c r="D2" s="6">
        <v>615.77</v>
      </c>
      <c r="E2" s="6"/>
      <c r="F2" s="6">
        <v>9.9297773483307206E-2</v>
      </c>
      <c r="G2" s="6">
        <v>5.4930683203531601E-3</v>
      </c>
      <c r="H2" s="6"/>
      <c r="I2" s="6">
        <v>6.1144589977816098E-2</v>
      </c>
      <c r="J2" s="6">
        <v>3.38246667962387E-3</v>
      </c>
      <c r="K2" s="6">
        <v>1024.29498345924</v>
      </c>
      <c r="L2" s="6">
        <v>0.60116471323566101</v>
      </c>
    </row>
    <row r="3" spans="1:12" x14ac:dyDescent="0.3">
      <c r="A3" s="11">
        <v>1991</v>
      </c>
      <c r="B3" s="14" t="s">
        <v>100</v>
      </c>
      <c r="C3" s="14"/>
      <c r="D3" s="7">
        <v>559.51</v>
      </c>
      <c r="E3" s="7"/>
      <c r="F3" s="7">
        <v>9.9755933556629706E-2</v>
      </c>
      <c r="G3" s="7">
        <v>5.5184133456858998E-3</v>
      </c>
      <c r="H3" s="7"/>
      <c r="I3" s="7">
        <v>5.5814442384269899E-2</v>
      </c>
      <c r="J3" s="7">
        <v>3.0876074510447198E-3</v>
      </c>
      <c r="K3" s="7">
        <v>1039.79498345924</v>
      </c>
      <c r="L3" s="7">
        <v>0.53809646026430602</v>
      </c>
    </row>
    <row r="4" spans="1:12" x14ac:dyDescent="0.3">
      <c r="A4" s="11">
        <v>1992</v>
      </c>
      <c r="B4" s="14" t="s">
        <v>100</v>
      </c>
      <c r="C4" s="14"/>
      <c r="D4" s="7">
        <v>344.97</v>
      </c>
      <c r="E4" s="7"/>
      <c r="F4" s="7">
        <v>0.100214093629952</v>
      </c>
      <c r="G4" s="7">
        <v>5.5437583710186396E-3</v>
      </c>
      <c r="H4" s="7"/>
      <c r="I4" s="7">
        <v>3.4570855879524701E-2</v>
      </c>
      <c r="J4" s="7">
        <v>1.9124303252502999E-3</v>
      </c>
      <c r="K4" s="7">
        <v>1055.29498345924</v>
      </c>
      <c r="L4" s="7">
        <v>0.32689438063013798</v>
      </c>
    </row>
    <row r="5" spans="1:12" x14ac:dyDescent="0.3">
      <c r="A5" s="11">
        <v>1993</v>
      </c>
      <c r="B5" s="14" t="s">
        <v>100</v>
      </c>
      <c r="C5" s="14"/>
      <c r="D5" s="7">
        <v>1196.92</v>
      </c>
      <c r="E5" s="7"/>
      <c r="F5" s="7">
        <v>0.100672253703275</v>
      </c>
      <c r="G5" s="7">
        <v>5.5691033963513803E-3</v>
      </c>
      <c r="H5" s="7"/>
      <c r="I5" s="7">
        <v>0.12049663390252401</v>
      </c>
      <c r="J5" s="7">
        <v>6.6657712371608899E-3</v>
      </c>
      <c r="K5" s="7">
        <v>1070.79498345924</v>
      </c>
      <c r="L5" s="7">
        <v>1.1177863349091399</v>
      </c>
    </row>
    <row r="6" spans="1:12" x14ac:dyDescent="0.3">
      <c r="A6" s="11">
        <v>1994</v>
      </c>
      <c r="B6" s="14" t="s">
        <v>100</v>
      </c>
      <c r="C6" s="14"/>
      <c r="D6" s="7">
        <v>835.47</v>
      </c>
      <c r="E6" s="7"/>
      <c r="F6" s="7">
        <v>0.101130413776597</v>
      </c>
      <c r="G6" s="7">
        <v>5.5944484216841096E-3</v>
      </c>
      <c r="H6" s="7"/>
      <c r="I6" s="7">
        <v>8.4491426797933894E-2</v>
      </c>
      <c r="J6" s="7">
        <v>4.6739938228644298E-3</v>
      </c>
      <c r="K6" s="7">
        <v>1086.29498345924</v>
      </c>
      <c r="L6" s="7">
        <v>0.76910048625972405</v>
      </c>
    </row>
    <row r="7" spans="1:12" x14ac:dyDescent="0.3">
      <c r="A7" s="11">
        <v>1995</v>
      </c>
      <c r="B7" s="14" t="s">
        <v>100</v>
      </c>
      <c r="C7" s="14"/>
      <c r="D7" s="7">
        <v>148.88</v>
      </c>
      <c r="E7" s="7"/>
      <c r="F7" s="7">
        <v>9.5609247217706902E-2</v>
      </c>
      <c r="G7" s="7">
        <v>5.28902218651144E-3</v>
      </c>
      <c r="H7" s="7"/>
      <c r="I7" s="7">
        <v>1.4234304725772201E-2</v>
      </c>
      <c r="J7" s="7">
        <v>7.8742962312782405E-4</v>
      </c>
      <c r="K7" s="7">
        <v>1101.79498345924</v>
      </c>
      <c r="L7" s="7">
        <v>0.13512495721533399</v>
      </c>
    </row>
    <row r="8" spans="1:12" x14ac:dyDescent="0.3">
      <c r="A8" s="11">
        <v>1996</v>
      </c>
      <c r="B8" s="14" t="s">
        <v>100</v>
      </c>
      <c r="C8" s="14"/>
      <c r="D8" s="7">
        <v>243.75</v>
      </c>
      <c r="E8" s="7"/>
      <c r="F8" s="7">
        <v>9.8127692017520599E-2</v>
      </c>
      <c r="G8" s="7">
        <v>5.42834040947986E-3</v>
      </c>
      <c r="H8" s="7"/>
      <c r="I8" s="7">
        <v>2.3918624929270601E-2</v>
      </c>
      <c r="J8" s="7">
        <v>1.3231579748107199E-3</v>
      </c>
      <c r="K8" s="7">
        <v>1117.3028429650601</v>
      </c>
      <c r="L8" s="7">
        <v>0.21815929453212901</v>
      </c>
    </row>
    <row r="9" spans="1:12" x14ac:dyDescent="0.3">
      <c r="A9" s="11">
        <v>1997</v>
      </c>
      <c r="B9" s="14" t="s">
        <v>100</v>
      </c>
      <c r="C9" s="14"/>
      <c r="D9" s="7">
        <v>383.33</v>
      </c>
      <c r="E9" s="7"/>
      <c r="F9" s="7">
        <v>9.3982854774483898E-2</v>
      </c>
      <c r="G9" s="7">
        <v>5.1990515407161304E-3</v>
      </c>
      <c r="H9" s="7"/>
      <c r="I9" s="7">
        <v>3.6026447720702903E-2</v>
      </c>
      <c r="J9" s="7">
        <v>1.9929524271027101E-3</v>
      </c>
      <c r="K9" s="7">
        <v>1132.81070247089</v>
      </c>
      <c r="L9" s="7">
        <v>0.33838839901836998</v>
      </c>
    </row>
    <row r="10" spans="1:12" x14ac:dyDescent="0.3">
      <c r="A10" s="11">
        <v>1998</v>
      </c>
      <c r="B10" s="14" t="s">
        <v>100</v>
      </c>
      <c r="C10" s="14"/>
      <c r="D10" s="7">
        <v>725.1</v>
      </c>
      <c r="E10" s="7"/>
      <c r="F10" s="7">
        <v>8.5976048625895099E-2</v>
      </c>
      <c r="G10" s="7">
        <v>4.7561218388792997E-3</v>
      </c>
      <c r="H10" s="7"/>
      <c r="I10" s="7">
        <v>6.2341232858636603E-2</v>
      </c>
      <c r="J10" s="7">
        <v>3.44866394537138E-3</v>
      </c>
      <c r="K10" s="7">
        <v>1148.31856197671</v>
      </c>
      <c r="L10" s="7">
        <v>0.631444987488329</v>
      </c>
    </row>
    <row r="11" spans="1:12" x14ac:dyDescent="0.3">
      <c r="A11" s="11">
        <v>1999</v>
      </c>
      <c r="B11" s="14" t="s">
        <v>100</v>
      </c>
      <c r="C11" s="14"/>
      <c r="D11" s="7">
        <v>321.10000000000002</v>
      </c>
      <c r="E11" s="7"/>
      <c r="F11" s="7">
        <v>8.3304607934778799E-2</v>
      </c>
      <c r="G11" s="7">
        <v>4.6083400134132998E-3</v>
      </c>
      <c r="H11" s="7"/>
      <c r="I11" s="7">
        <v>2.6749109607857501E-2</v>
      </c>
      <c r="J11" s="7">
        <v>1.4797379783070099E-3</v>
      </c>
      <c r="K11" s="7">
        <v>1163.8264214825299</v>
      </c>
      <c r="L11" s="7">
        <v>0.27590024944696601</v>
      </c>
    </row>
    <row r="12" spans="1:12" x14ac:dyDescent="0.3">
      <c r="A12" s="11">
        <v>2000</v>
      </c>
      <c r="B12" s="14" t="s">
        <v>100</v>
      </c>
      <c r="C12" s="14"/>
      <c r="D12" s="7">
        <v>124.14</v>
      </c>
      <c r="E12" s="7"/>
      <c r="F12" s="7">
        <v>0.105470826025649</v>
      </c>
      <c r="G12" s="7">
        <v>5.8345563333337697E-3</v>
      </c>
      <c r="H12" s="7"/>
      <c r="I12" s="7">
        <v>1.30931483428241E-2</v>
      </c>
      <c r="J12" s="7">
        <v>7.2430182322005398E-4</v>
      </c>
      <c r="K12" s="7">
        <v>1179.33428098835</v>
      </c>
      <c r="L12" s="7">
        <v>0.10526277578903501</v>
      </c>
    </row>
    <row r="13" spans="1:12" x14ac:dyDescent="0.3">
      <c r="A13" s="11">
        <v>2001</v>
      </c>
      <c r="B13" s="14" t="s">
        <v>100</v>
      </c>
      <c r="C13" s="14"/>
      <c r="D13" s="7">
        <v>240.36</v>
      </c>
      <c r="E13" s="7"/>
      <c r="F13" s="7">
        <v>9.73378973526806E-2</v>
      </c>
      <c r="G13" s="7">
        <v>5.3846496407865801E-3</v>
      </c>
      <c r="H13" s="7"/>
      <c r="I13" s="7">
        <v>2.3396137007690301E-2</v>
      </c>
      <c r="J13" s="7">
        <v>1.29425438765946E-3</v>
      </c>
      <c r="K13" s="7">
        <v>1194.8421404941801</v>
      </c>
      <c r="L13" s="7">
        <v>0.20116464916494201</v>
      </c>
    </row>
    <row r="14" spans="1:12" x14ac:dyDescent="0.3">
      <c r="A14" s="11">
        <v>2002</v>
      </c>
      <c r="B14" s="14" t="s">
        <v>100</v>
      </c>
      <c r="C14" s="14"/>
      <c r="D14" s="7">
        <v>77.47</v>
      </c>
      <c r="E14" s="7"/>
      <c r="F14" s="7">
        <v>0.14736681004723301</v>
      </c>
      <c r="G14" s="7">
        <v>8.1522065132511694E-3</v>
      </c>
      <c r="H14" s="7"/>
      <c r="I14" s="7">
        <v>1.1416506774359099E-2</v>
      </c>
      <c r="J14" s="7">
        <v>6.3155143858156803E-4</v>
      </c>
      <c r="K14" s="7">
        <v>1210.3499999999999</v>
      </c>
      <c r="L14" s="7">
        <v>6.4006279175445102E-2</v>
      </c>
    </row>
    <row r="15" spans="1:12" x14ac:dyDescent="0.3">
      <c r="A15" s="11">
        <v>2003</v>
      </c>
      <c r="B15" s="14" t="s">
        <v>100</v>
      </c>
      <c r="C15" s="14"/>
      <c r="D15" s="7">
        <v>1592.84</v>
      </c>
      <c r="E15" s="7"/>
      <c r="F15" s="7">
        <v>0.14789361643610499</v>
      </c>
      <c r="G15" s="7">
        <v>8.1813489943377091E-3</v>
      </c>
      <c r="H15" s="7"/>
      <c r="I15" s="7">
        <v>0.235570868004085</v>
      </c>
      <c r="J15" s="7">
        <v>1.3031579932140901E-2</v>
      </c>
      <c r="K15" s="7">
        <v>1209.45</v>
      </c>
      <c r="L15" s="7">
        <v>1.3169953284550799</v>
      </c>
    </row>
    <row r="16" spans="1:12" x14ac:dyDescent="0.3">
      <c r="A16" s="11">
        <v>2004</v>
      </c>
      <c r="B16" s="14" t="s">
        <v>100</v>
      </c>
      <c r="C16" s="14"/>
      <c r="D16" s="7">
        <v>76.87</v>
      </c>
      <c r="E16" s="7"/>
      <c r="F16" s="7">
        <v>8.4313879044584997E-2</v>
      </c>
      <c r="G16" s="7">
        <v>4.6641720322536401E-3</v>
      </c>
      <c r="H16" s="7"/>
      <c r="I16" s="7">
        <v>6.4812078821572501E-3</v>
      </c>
      <c r="J16" s="7">
        <v>3.5853490411933699E-4</v>
      </c>
      <c r="K16" s="7">
        <v>1208.55</v>
      </c>
      <c r="L16" s="7">
        <v>6.3605146663356898E-2</v>
      </c>
    </row>
    <row r="17" spans="1:12" x14ac:dyDescent="0.3">
      <c r="A17" s="11">
        <v>2005</v>
      </c>
      <c r="B17" s="14" t="s">
        <v>100</v>
      </c>
      <c r="C17" s="14"/>
      <c r="D17" s="7">
        <v>142.22999999999999</v>
      </c>
      <c r="E17" s="7"/>
      <c r="F17" s="7">
        <v>0.103289636905224</v>
      </c>
      <c r="G17" s="7">
        <v>5.71389480752301E-3</v>
      </c>
      <c r="H17" s="7"/>
      <c r="I17" s="7">
        <v>1.469088505703E-2</v>
      </c>
      <c r="J17" s="7">
        <v>8.1268725847399804E-4</v>
      </c>
      <c r="K17" s="7">
        <v>1207.6500000000001</v>
      </c>
      <c r="L17" s="7">
        <v>0.117774189541672</v>
      </c>
    </row>
    <row r="18" spans="1:12" x14ac:dyDescent="0.3">
      <c r="A18" s="11">
        <v>2006</v>
      </c>
      <c r="B18" s="14" t="s">
        <v>100</v>
      </c>
      <c r="C18" s="14"/>
      <c r="D18" s="7">
        <v>1022.81</v>
      </c>
      <c r="E18" s="7"/>
      <c r="F18" s="7">
        <v>0.281123968632914</v>
      </c>
      <c r="G18" s="7">
        <v>1.55515386903314E-2</v>
      </c>
      <c r="H18" s="7"/>
      <c r="I18" s="7">
        <v>0.287536406357431</v>
      </c>
      <c r="J18" s="7">
        <v>1.5906269287857901E-2</v>
      </c>
      <c r="K18" s="7">
        <v>1206.75</v>
      </c>
      <c r="L18" s="7">
        <v>0.84757406256473999</v>
      </c>
    </row>
    <row r="19" spans="1:12" x14ac:dyDescent="0.3">
      <c r="A19" s="11">
        <v>2007</v>
      </c>
      <c r="B19" s="14" t="s">
        <v>100</v>
      </c>
      <c r="C19" s="14"/>
      <c r="D19" s="7">
        <v>98.61</v>
      </c>
      <c r="E19" s="7"/>
      <c r="F19" s="7">
        <v>9.9154674670129006E-2</v>
      </c>
      <c r="G19" s="7">
        <v>5.4851522157943703E-3</v>
      </c>
      <c r="H19" s="7"/>
      <c r="I19" s="7">
        <v>9.77764246922142E-3</v>
      </c>
      <c r="J19" s="7">
        <v>5.4089085999948301E-4</v>
      </c>
      <c r="K19" s="7">
        <v>1206.7</v>
      </c>
      <c r="L19" s="7">
        <v>8.1718737051462695E-2</v>
      </c>
    </row>
    <row r="20" spans="1:12" x14ac:dyDescent="0.3">
      <c r="A20" s="11">
        <v>2008</v>
      </c>
      <c r="B20" s="14" t="s">
        <v>100</v>
      </c>
      <c r="C20" s="14"/>
      <c r="D20" s="7">
        <v>46.69</v>
      </c>
      <c r="E20" s="7"/>
      <c r="F20" s="7">
        <v>0.12025465751309</v>
      </c>
      <c r="G20" s="7">
        <v>6.65238530923475E-3</v>
      </c>
      <c r="H20" s="7"/>
      <c r="I20" s="7">
        <v>5.6146899592861496E-3</v>
      </c>
      <c r="J20" s="7">
        <v>3.1059987008817002E-4</v>
      </c>
      <c r="K20" s="7">
        <v>1206.6500000000001</v>
      </c>
      <c r="L20" s="7">
        <v>3.8693904611942199E-2</v>
      </c>
    </row>
    <row r="21" spans="1:12" x14ac:dyDescent="0.3">
      <c r="A21" s="11">
        <v>2009</v>
      </c>
      <c r="B21" s="14" t="s">
        <v>100</v>
      </c>
      <c r="C21" s="14"/>
      <c r="D21" s="7">
        <v>114.73</v>
      </c>
      <c r="E21" s="7"/>
      <c r="F21" s="7">
        <v>9.3273163588215594E-2</v>
      </c>
      <c r="G21" s="7">
        <v>5.1597920282842602E-3</v>
      </c>
      <c r="H21" s="7"/>
      <c r="I21" s="7">
        <v>1.0701230058475999E-2</v>
      </c>
      <c r="J21" s="7">
        <v>5.9198293940505397E-4</v>
      </c>
      <c r="K21" s="7">
        <v>1206.5999999999999</v>
      </c>
      <c r="L21" s="7">
        <v>9.5085363832255895E-2</v>
      </c>
    </row>
    <row r="22" spans="1:12" x14ac:dyDescent="0.3">
      <c r="A22" s="11">
        <v>2010</v>
      </c>
      <c r="B22" s="14" t="s">
        <v>100</v>
      </c>
      <c r="C22" s="14"/>
      <c r="D22" s="7">
        <v>52.06</v>
      </c>
      <c r="E22" s="7"/>
      <c r="F22" s="7">
        <v>8.2223713409258006E-2</v>
      </c>
      <c r="G22" s="7">
        <v>4.5485458481717197E-3</v>
      </c>
      <c r="H22" s="7"/>
      <c r="I22" s="7">
        <v>4.2805665200859704E-3</v>
      </c>
      <c r="J22" s="7">
        <v>2.3679729685582E-4</v>
      </c>
      <c r="K22" s="7">
        <v>1206.55</v>
      </c>
      <c r="L22" s="7">
        <v>4.3147818159214299E-2</v>
      </c>
    </row>
    <row r="23" spans="1:12" x14ac:dyDescent="0.3">
      <c r="A23" s="11">
        <v>2011</v>
      </c>
      <c r="B23" s="14" t="s">
        <v>100</v>
      </c>
      <c r="C23" s="14"/>
      <c r="D23" s="7">
        <v>159.08000000000001</v>
      </c>
      <c r="E23" s="7"/>
      <c r="F23" s="7">
        <v>0.100140721749536</v>
      </c>
      <c r="G23" s="7">
        <v>5.5396995010381801E-3</v>
      </c>
      <c r="H23" s="7"/>
      <c r="I23" s="7">
        <v>1.59303860159162E-2</v>
      </c>
      <c r="J23" s="7">
        <v>8.8125539662515303E-4</v>
      </c>
      <c r="K23" s="7">
        <v>1206.5</v>
      </c>
      <c r="L23" s="7">
        <v>0.131852465810195</v>
      </c>
    </row>
    <row r="24" spans="1:12" x14ac:dyDescent="0.3">
      <c r="A24" s="11">
        <v>2012</v>
      </c>
      <c r="B24" s="14" t="s">
        <v>100</v>
      </c>
      <c r="C24" s="14"/>
      <c r="D24" s="7">
        <v>606.53</v>
      </c>
      <c r="E24" s="7"/>
      <c r="F24" s="7">
        <v>0.147617977861698</v>
      </c>
      <c r="G24" s="7">
        <v>8.1661009029875293E-3</v>
      </c>
      <c r="H24" s="7"/>
      <c r="I24" s="7">
        <v>8.9534732112455495E-2</v>
      </c>
      <c r="J24" s="7">
        <v>4.9529851806890297E-3</v>
      </c>
      <c r="K24" s="7">
        <v>1206.45</v>
      </c>
      <c r="L24" s="7">
        <v>0.50273944216502997</v>
      </c>
    </row>
    <row r="25" spans="1:12" x14ac:dyDescent="0.3">
      <c r="A25" s="11">
        <v>2013</v>
      </c>
      <c r="B25" s="14" t="s">
        <v>100</v>
      </c>
      <c r="C25" s="14"/>
      <c r="D25" s="7">
        <v>48.36</v>
      </c>
      <c r="E25" s="7"/>
      <c r="F25" s="7">
        <v>0.23829198086270501</v>
      </c>
      <c r="G25" s="7">
        <v>1.3182109579638999E-2</v>
      </c>
      <c r="H25" s="7"/>
      <c r="I25" s="7">
        <v>1.15238001945204E-2</v>
      </c>
      <c r="J25" s="7">
        <v>6.3748681927134297E-4</v>
      </c>
      <c r="K25" s="7">
        <v>1206.8499999999999</v>
      </c>
      <c r="L25" s="7">
        <v>4.0071259891453E-2</v>
      </c>
    </row>
    <row r="26" spans="1:12" x14ac:dyDescent="0.3">
      <c r="A26" s="11">
        <v>2014</v>
      </c>
      <c r="B26" s="14" t="s">
        <v>100</v>
      </c>
      <c r="C26" s="14"/>
      <c r="D26" s="7">
        <v>13.03</v>
      </c>
      <c r="E26" s="7"/>
      <c r="F26" s="7">
        <v>0.204599450097908</v>
      </c>
      <c r="G26" s="7">
        <v>1.13182674522247E-2</v>
      </c>
      <c r="H26" s="7"/>
      <c r="I26" s="7">
        <v>2.6659308347757398E-3</v>
      </c>
      <c r="J26" s="7">
        <v>1.47477024902488E-4</v>
      </c>
      <c r="K26" s="7">
        <v>1207.25</v>
      </c>
      <c r="L26" s="7">
        <v>1.07931248705736E-2</v>
      </c>
    </row>
    <row r="27" spans="1:12" x14ac:dyDescent="0.3">
      <c r="A27" s="11">
        <v>2015</v>
      </c>
      <c r="B27" s="14" t="s">
        <v>100</v>
      </c>
      <c r="C27" s="14"/>
      <c r="D27" s="7">
        <v>47.98</v>
      </c>
      <c r="E27" s="7"/>
      <c r="F27" s="7">
        <v>0.151289425920168</v>
      </c>
      <c r="G27" s="7">
        <v>8.3692022849454501E-3</v>
      </c>
      <c r="H27" s="7"/>
      <c r="I27" s="7">
        <v>7.2588666556496501E-3</v>
      </c>
      <c r="J27" s="7">
        <v>4.0155432563168301E-4</v>
      </c>
      <c r="K27" s="7">
        <v>1207.6500000000001</v>
      </c>
      <c r="L27" s="7">
        <v>3.9730054237568799E-2</v>
      </c>
    </row>
    <row r="28" spans="1:12" x14ac:dyDescent="0.3">
      <c r="A28" s="11">
        <v>2016</v>
      </c>
      <c r="B28" s="14" t="s">
        <v>100</v>
      </c>
      <c r="C28" s="14"/>
      <c r="D28" s="7">
        <v>237.41</v>
      </c>
      <c r="E28" s="7"/>
      <c r="F28" s="7">
        <v>0.12005360725799499</v>
      </c>
      <c r="G28" s="7">
        <v>6.6412633802294899E-3</v>
      </c>
      <c r="H28" s="7"/>
      <c r="I28" s="7">
        <v>2.8501926899120501E-2</v>
      </c>
      <c r="J28" s="7">
        <v>1.5767023391002799E-3</v>
      </c>
      <c r="K28" s="7">
        <v>1208.05</v>
      </c>
      <c r="L28" s="7">
        <v>0.19652332271015299</v>
      </c>
    </row>
    <row r="29" spans="1:12" x14ac:dyDescent="0.3">
      <c r="A29" s="11">
        <v>2017</v>
      </c>
      <c r="B29" s="14" t="s">
        <v>100</v>
      </c>
      <c r="C29" s="14"/>
      <c r="D29" s="7">
        <v>176.47</v>
      </c>
      <c r="E29" s="7"/>
      <c r="F29" s="7">
        <v>0.115640777813439</v>
      </c>
      <c r="G29" s="7">
        <v>6.3971494109562E-3</v>
      </c>
      <c r="H29" s="7"/>
      <c r="I29" s="7">
        <v>2.0407128060737599E-2</v>
      </c>
      <c r="J29" s="7">
        <v>1.1289049565514401E-3</v>
      </c>
      <c r="K29" s="7">
        <v>1207.7249999999999</v>
      </c>
      <c r="L29" s="7">
        <v>0.14611770063549201</v>
      </c>
    </row>
    <row r="30" spans="1:12" x14ac:dyDescent="0.3">
      <c r="A30" s="11">
        <v>2018</v>
      </c>
      <c r="B30" s="14" t="s">
        <v>100</v>
      </c>
      <c r="C30" s="14"/>
      <c r="D30" s="7">
        <v>15.15</v>
      </c>
      <c r="E30" s="7"/>
      <c r="F30" s="7">
        <v>0.15013098176724601</v>
      </c>
      <c r="G30" s="7">
        <v>8.3051181403157592E-3</v>
      </c>
      <c r="H30" s="7"/>
      <c r="I30" s="7">
        <v>2.27448437377378E-3</v>
      </c>
      <c r="J30" s="7">
        <v>1.25822539825784E-4</v>
      </c>
      <c r="K30" s="7">
        <v>1207.4000000000001</v>
      </c>
      <c r="L30" s="7">
        <v>1.25476229915521E-2</v>
      </c>
    </row>
    <row r="31" spans="1:12" x14ac:dyDescent="0.3">
      <c r="A31" s="11">
        <v>2019</v>
      </c>
      <c r="B31" s="14" t="s">
        <v>100</v>
      </c>
      <c r="C31" s="14"/>
      <c r="D31" s="7">
        <v>72.75</v>
      </c>
      <c r="E31" s="7"/>
      <c r="F31" s="7">
        <v>0.129289022438906</v>
      </c>
      <c r="G31" s="7">
        <v>7.1521586881097199E-3</v>
      </c>
      <c r="H31" s="7"/>
      <c r="I31" s="7">
        <v>9.4057763824304495E-3</v>
      </c>
      <c r="J31" s="7">
        <v>5.2031954455998195E-4</v>
      </c>
      <c r="K31" s="7">
        <v>1207.075</v>
      </c>
      <c r="L31" s="7">
        <v>6.0269660128823802E-2</v>
      </c>
    </row>
    <row r="32" spans="1:12" x14ac:dyDescent="0.3">
      <c r="A32" s="11">
        <v>2020</v>
      </c>
      <c r="B32" s="14" t="s">
        <v>100</v>
      </c>
      <c r="C32" s="14"/>
      <c r="D32" s="7">
        <v>73.38</v>
      </c>
      <c r="E32" s="7"/>
      <c r="F32" s="7">
        <v>0.240273193936138</v>
      </c>
      <c r="G32" s="7">
        <v>1.3291708600722501E-2</v>
      </c>
      <c r="H32" s="7"/>
      <c r="I32" s="7">
        <v>1.7631246971033802E-2</v>
      </c>
      <c r="J32" s="7">
        <v>9.7534557712101696E-4</v>
      </c>
      <c r="K32" s="7">
        <v>1206.75</v>
      </c>
      <c r="L32" s="7">
        <v>6.0807955251709102E-2</v>
      </c>
    </row>
    <row r="33" spans="1:12" x14ac:dyDescent="0.3">
      <c r="A33" s="11">
        <v>2021</v>
      </c>
      <c r="B33" s="14" t="s">
        <v>100</v>
      </c>
      <c r="C33" s="14"/>
      <c r="D33" s="7">
        <v>24.6</v>
      </c>
      <c r="E33" s="7"/>
      <c r="F33" s="7">
        <v>0.18415599264093599</v>
      </c>
      <c r="G33" s="7">
        <v>1.0187352784392201E-2</v>
      </c>
      <c r="H33" s="7"/>
      <c r="I33" s="7">
        <v>4.5302374189670402E-3</v>
      </c>
      <c r="J33" s="7">
        <v>2.50608878496049E-4</v>
      </c>
      <c r="K33" s="7">
        <v>1206.425</v>
      </c>
      <c r="L33" s="7">
        <v>2.03908241291419E-2</v>
      </c>
    </row>
    <row r="34" spans="1:12" x14ac:dyDescent="0.3">
      <c r="A34" s="11">
        <v>2022</v>
      </c>
      <c r="B34" s="14" t="s">
        <v>100</v>
      </c>
      <c r="C34" s="14"/>
      <c r="D34" s="7">
        <v>3186.44</v>
      </c>
      <c r="E34" s="7"/>
      <c r="F34" s="7">
        <v>0.12171299272582201</v>
      </c>
      <c r="G34" s="7">
        <v>6.7330591720667302E-3</v>
      </c>
      <c r="H34" s="7"/>
      <c r="I34" s="7">
        <v>0.38783114854126699</v>
      </c>
      <c r="J34" s="7">
        <v>2.1454489068240299E-2</v>
      </c>
      <c r="K34" s="7">
        <v>1206.0999999999999</v>
      </c>
      <c r="L34" s="7">
        <v>2.6419368211591099</v>
      </c>
    </row>
    <row r="35" spans="1:12" x14ac:dyDescent="0.3">
      <c r="A35" s="11">
        <v>2023</v>
      </c>
      <c r="B35" s="14"/>
      <c r="C35" s="14"/>
      <c r="D35" s="7">
        <v>4.93</v>
      </c>
      <c r="E35" s="7"/>
      <c r="F35" s="7">
        <v>0.49889926971927001</v>
      </c>
      <c r="G35" s="7">
        <v>2.7598683005746801E-2</v>
      </c>
      <c r="H35" s="7"/>
      <c r="I35" s="7">
        <v>2.4595733997159999E-3</v>
      </c>
      <c r="J35" s="7">
        <v>1.3606150721833199E-4</v>
      </c>
      <c r="K35" s="7">
        <v>1205.7750000000001</v>
      </c>
      <c r="L35" s="7">
        <v>4.0886566730940696E-3</v>
      </c>
    </row>
    <row r="36" spans="1:12" x14ac:dyDescent="0.3">
      <c r="A36" s="12">
        <v>2024</v>
      </c>
      <c r="B36" s="5"/>
      <c r="C36" s="5"/>
      <c r="D36" s="8">
        <v>129.16999999999999</v>
      </c>
      <c r="E36" s="8"/>
      <c r="F36" s="8">
        <v>0.19646529388310499</v>
      </c>
      <c r="G36" s="8">
        <v>1.08682928531079E-2</v>
      </c>
      <c r="H36" s="8"/>
      <c r="I36" s="8">
        <v>2.5377422010880699E-2</v>
      </c>
      <c r="J36" s="8">
        <v>1.4038573878359501E-3</v>
      </c>
      <c r="K36" s="8">
        <v>1205.45</v>
      </c>
      <c r="L36" s="8">
        <v>0.10715500435522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36"/>
  <sheetViews>
    <sheetView workbookViewId="0">
      <pane ySplit="1" topLeftCell="A30" activePane="bottomLeft" state="frozen"/>
      <selection pane="bottomLeft" activeCell="A30" sqref="A30"/>
    </sheetView>
  </sheetViews>
  <sheetFormatPr defaultColWidth="11.5546875" defaultRowHeight="14.4" x14ac:dyDescent="0.3"/>
  <cols>
    <col min="1" max="1" width="4.77734375" customWidth="1"/>
    <col min="2" max="2" width="10.109375" customWidth="1"/>
    <col min="3" max="3" width="4.109375" customWidth="1"/>
    <col min="4" max="4" width="9.77734375" customWidth="1"/>
    <col min="5" max="5" width="6.77734375" customWidth="1"/>
    <col min="6" max="7" width="11.77734375" customWidth="1"/>
    <col min="8" max="8" width="5" customWidth="1"/>
    <col min="9" max="12" width="11.77734375" customWidth="1"/>
  </cols>
  <sheetData>
    <row r="1" spans="1:12" ht="27.6" customHeight="1" x14ac:dyDescent="0.3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3">
      <c r="A2" s="10">
        <v>1990</v>
      </c>
      <c r="B2" s="13"/>
      <c r="C2" s="13"/>
      <c r="D2" s="6">
        <v>1214</v>
      </c>
      <c r="E2" s="6"/>
      <c r="F2" s="6">
        <v>5.1836355226169702E-2</v>
      </c>
      <c r="G2" s="6">
        <v>3.5637494217462902E-4</v>
      </c>
      <c r="H2" s="6"/>
      <c r="I2" s="6">
        <v>6.2929335244570006E-2</v>
      </c>
      <c r="J2" s="6">
        <v>4.3263917979999999E-4</v>
      </c>
      <c r="K2" s="6">
        <v>28109.055952317001</v>
      </c>
      <c r="L2" s="6">
        <v>4.3188928225102202E-2</v>
      </c>
    </row>
    <row r="3" spans="1:12" x14ac:dyDescent="0.3">
      <c r="A3" s="11">
        <v>1991</v>
      </c>
      <c r="B3" s="14"/>
      <c r="C3" s="14"/>
      <c r="D3" s="7">
        <v>1214</v>
      </c>
      <c r="E3" s="7"/>
      <c r="F3" s="7">
        <v>5.1836355226169702E-2</v>
      </c>
      <c r="G3" s="7">
        <v>3.5637494217462902E-4</v>
      </c>
      <c r="H3" s="7"/>
      <c r="I3" s="7">
        <v>6.2929335244570006E-2</v>
      </c>
      <c r="J3" s="7">
        <v>4.3263917979999999E-4</v>
      </c>
      <c r="K3" s="7">
        <v>28103.634102511998</v>
      </c>
      <c r="L3" s="7">
        <v>4.3197260381762803E-2</v>
      </c>
    </row>
    <row r="4" spans="1:12" x14ac:dyDescent="0.3">
      <c r="A4" s="11">
        <v>1992</v>
      </c>
      <c r="B4" s="14"/>
      <c r="C4" s="14"/>
      <c r="D4" s="7">
        <v>1214</v>
      </c>
      <c r="E4" s="7"/>
      <c r="F4" s="7">
        <v>5.1836355226169702E-2</v>
      </c>
      <c r="G4" s="7">
        <v>3.5637494217462902E-4</v>
      </c>
      <c r="H4" s="7"/>
      <c r="I4" s="7">
        <v>6.2929335244570006E-2</v>
      </c>
      <c r="J4" s="7">
        <v>4.3263917979999999E-4</v>
      </c>
      <c r="K4" s="7">
        <v>28098.732506422999</v>
      </c>
      <c r="L4" s="7">
        <v>4.3204795793635703E-2</v>
      </c>
    </row>
    <row r="5" spans="1:12" x14ac:dyDescent="0.3">
      <c r="A5" s="11">
        <v>1993</v>
      </c>
      <c r="B5" s="14"/>
      <c r="C5" s="14"/>
      <c r="D5" s="7">
        <v>1214</v>
      </c>
      <c r="E5" s="7"/>
      <c r="F5" s="7">
        <v>5.1836355226169702E-2</v>
      </c>
      <c r="G5" s="7">
        <v>3.5637494217462902E-4</v>
      </c>
      <c r="H5" s="7"/>
      <c r="I5" s="7">
        <v>6.2929335244570006E-2</v>
      </c>
      <c r="J5" s="7">
        <v>4.3263917979999999E-4</v>
      </c>
      <c r="K5" s="7">
        <v>28095.585692523</v>
      </c>
      <c r="L5" s="7">
        <v>4.32096348973098E-2</v>
      </c>
    </row>
    <row r="6" spans="1:12" x14ac:dyDescent="0.3">
      <c r="A6" s="11">
        <v>1994</v>
      </c>
      <c r="B6" s="14"/>
      <c r="C6" s="14"/>
      <c r="D6" s="7">
        <v>1214</v>
      </c>
      <c r="E6" s="7"/>
      <c r="F6" s="7">
        <v>5.1836355226169702E-2</v>
      </c>
      <c r="G6" s="7">
        <v>3.5637494217462902E-4</v>
      </c>
      <c r="H6" s="7"/>
      <c r="I6" s="7">
        <v>6.2929335244570006E-2</v>
      </c>
      <c r="J6" s="7">
        <v>4.3263917979999999E-4</v>
      </c>
      <c r="K6" s="7">
        <v>28095.022865093</v>
      </c>
      <c r="L6" s="7">
        <v>4.3210500515674898E-2</v>
      </c>
    </row>
    <row r="7" spans="1:12" x14ac:dyDescent="0.3">
      <c r="A7" s="11">
        <v>1995</v>
      </c>
      <c r="B7" s="14"/>
      <c r="C7" s="14"/>
      <c r="D7" s="7">
        <v>1214</v>
      </c>
      <c r="E7" s="7"/>
      <c r="F7" s="7">
        <v>5.1836355226169702E-2</v>
      </c>
      <c r="G7" s="7">
        <v>3.5637494217462902E-4</v>
      </c>
      <c r="H7" s="7"/>
      <c r="I7" s="7">
        <v>6.2929335244570006E-2</v>
      </c>
      <c r="J7" s="7">
        <v>4.3263917979999999E-4</v>
      </c>
      <c r="K7" s="7">
        <v>28090.598183466002</v>
      </c>
      <c r="L7" s="7">
        <v>4.3217306803902601E-2</v>
      </c>
    </row>
    <row r="8" spans="1:12" x14ac:dyDescent="0.3">
      <c r="A8" s="11">
        <v>1996</v>
      </c>
      <c r="B8" s="14"/>
      <c r="C8" s="14"/>
      <c r="D8" s="7">
        <v>1213.5418</v>
      </c>
      <c r="E8" s="7"/>
      <c r="F8" s="7">
        <v>5.1855927207921503E-2</v>
      </c>
      <c r="G8" s="7">
        <v>3.5650949954917099E-4</v>
      </c>
      <c r="H8" s="7"/>
      <c r="I8" s="7">
        <v>6.2929335244570006E-2</v>
      </c>
      <c r="J8" s="7">
        <v>4.3263917979999999E-4</v>
      </c>
      <c r="K8" s="7">
        <v>28093.170350871998</v>
      </c>
      <c r="L8" s="7">
        <v>4.31970398799199E-2</v>
      </c>
    </row>
    <row r="9" spans="1:12" x14ac:dyDescent="0.3">
      <c r="A9" s="11">
        <v>1997</v>
      </c>
      <c r="B9" s="14"/>
      <c r="C9" s="14"/>
      <c r="D9" s="7">
        <v>4901.3041999999996</v>
      </c>
      <c r="E9" s="7"/>
      <c r="F9" s="7">
        <v>7.5460429458446998E-2</v>
      </c>
      <c r="G9" s="7">
        <v>5.1879045252486099E-4</v>
      </c>
      <c r="H9" s="7"/>
      <c r="I9" s="7">
        <v>0.36985451983848999</v>
      </c>
      <c r="J9" s="7">
        <v>2.5427498238800002E-3</v>
      </c>
      <c r="K9" s="7">
        <v>28085.446086852</v>
      </c>
      <c r="L9" s="7">
        <v>0.17451402355665299</v>
      </c>
    </row>
    <row r="10" spans="1:12" x14ac:dyDescent="0.3">
      <c r="A10" s="11">
        <v>1998</v>
      </c>
      <c r="B10" s="14"/>
      <c r="C10" s="14"/>
      <c r="D10" s="7">
        <v>201</v>
      </c>
      <c r="E10" s="7"/>
      <c r="F10" s="7">
        <v>4.5473055819104498E-2</v>
      </c>
      <c r="G10" s="7">
        <v>3.1262725875621898E-4</v>
      </c>
      <c r="H10" s="7"/>
      <c r="I10" s="7">
        <v>9.1400842196400003E-3</v>
      </c>
      <c r="J10" s="7">
        <v>6.2838079009999996E-5</v>
      </c>
      <c r="K10" s="7">
        <v>28083.059267629</v>
      </c>
      <c r="L10" s="7">
        <v>7.1573398782692503E-3</v>
      </c>
    </row>
    <row r="11" spans="1:12" x14ac:dyDescent="0.3">
      <c r="A11" s="11">
        <v>1999</v>
      </c>
      <c r="B11" s="14"/>
      <c r="C11" s="14"/>
      <c r="D11" s="7">
        <v>1086</v>
      </c>
      <c r="E11" s="7"/>
      <c r="F11" s="7">
        <v>7.1950929608987094E-2</v>
      </c>
      <c r="G11" s="7">
        <v>4.9466264105893195E-4</v>
      </c>
      <c r="H11" s="7"/>
      <c r="I11" s="7">
        <v>7.8138709555359995E-2</v>
      </c>
      <c r="J11" s="7">
        <v>5.3720362819E-4</v>
      </c>
      <c r="K11" s="7">
        <v>28082.906987922001</v>
      </c>
      <c r="L11" s="7">
        <v>3.8671210230019001E-2</v>
      </c>
    </row>
    <row r="12" spans="1:12" x14ac:dyDescent="0.3">
      <c r="A12" s="11">
        <v>2000</v>
      </c>
      <c r="B12" s="14"/>
      <c r="C12" s="14"/>
      <c r="D12" s="7">
        <v>912</v>
      </c>
      <c r="E12" s="7"/>
      <c r="F12" s="7">
        <v>6.4961778467379397E-2</v>
      </c>
      <c r="G12" s="7">
        <v>4.46612226962719E-4</v>
      </c>
      <c r="H12" s="7"/>
      <c r="I12" s="7">
        <v>5.9245141962250003E-2</v>
      </c>
      <c r="J12" s="7">
        <v>4.0731035099000001E-4</v>
      </c>
      <c r="K12" s="7">
        <v>28078.153687941001</v>
      </c>
      <c r="L12" s="7">
        <v>3.2480768149356097E-2</v>
      </c>
    </row>
    <row r="13" spans="1:12" x14ac:dyDescent="0.3">
      <c r="A13" s="11">
        <v>2001</v>
      </c>
      <c r="B13" s="14"/>
      <c r="C13" s="14"/>
      <c r="D13" s="7">
        <v>698</v>
      </c>
      <c r="E13" s="7"/>
      <c r="F13" s="7">
        <v>6.1234253641289399E-2</v>
      </c>
      <c r="G13" s="7">
        <v>4.2098549378223501E-4</v>
      </c>
      <c r="H13" s="7"/>
      <c r="I13" s="7">
        <v>4.2741509041620003E-2</v>
      </c>
      <c r="J13" s="7">
        <v>2.9384787465999999E-4</v>
      </c>
      <c r="K13" s="7">
        <v>28080.592896810998</v>
      </c>
      <c r="L13" s="7">
        <v>2.4857025012433701E-2</v>
      </c>
    </row>
    <row r="14" spans="1:12" x14ac:dyDescent="0.3">
      <c r="A14" s="11">
        <v>2002</v>
      </c>
      <c r="B14" s="14"/>
      <c r="C14" s="14"/>
      <c r="D14" s="7">
        <v>1289</v>
      </c>
      <c r="E14" s="7"/>
      <c r="F14" s="7">
        <v>6.8030906561737797E-2</v>
      </c>
      <c r="G14" s="7">
        <v>4.6771248260667198E-4</v>
      </c>
      <c r="H14" s="7"/>
      <c r="I14" s="7">
        <v>8.7691838558080007E-2</v>
      </c>
      <c r="J14" s="7">
        <v>6.0288139007999998E-4</v>
      </c>
      <c r="K14" s="7">
        <v>28076.005514126999</v>
      </c>
      <c r="L14" s="7">
        <v>4.5911089430133299E-2</v>
      </c>
    </row>
    <row r="15" spans="1:12" x14ac:dyDescent="0.3">
      <c r="A15" s="11">
        <v>2003</v>
      </c>
      <c r="B15" s="14"/>
      <c r="C15" s="14"/>
      <c r="D15" s="7">
        <v>2332</v>
      </c>
      <c r="E15" s="7"/>
      <c r="F15" s="7">
        <v>5.9261156155060002E-2</v>
      </c>
      <c r="G15" s="7">
        <v>4.0742044856346499E-4</v>
      </c>
      <c r="H15" s="7"/>
      <c r="I15" s="7">
        <v>0.1381970161536</v>
      </c>
      <c r="J15" s="7">
        <v>9.5010448604999995E-4</v>
      </c>
      <c r="K15" s="7">
        <v>28076.966230589001</v>
      </c>
      <c r="L15" s="7">
        <v>8.3057406589012298E-2</v>
      </c>
    </row>
    <row r="16" spans="1:12" x14ac:dyDescent="0.3">
      <c r="A16" s="11">
        <v>2004</v>
      </c>
      <c r="B16" s="14"/>
      <c r="C16" s="14"/>
      <c r="D16" s="7">
        <v>1246</v>
      </c>
      <c r="E16" s="7"/>
      <c r="F16" s="7">
        <v>7.1036307433266499E-2</v>
      </c>
      <c r="G16" s="7">
        <v>4.8837461360353102E-4</v>
      </c>
      <c r="H16" s="7"/>
      <c r="I16" s="7">
        <v>8.8511239061850003E-2</v>
      </c>
      <c r="J16" s="7">
        <v>6.0851476855E-4</v>
      </c>
      <c r="K16" s="7">
        <v>28074.856078352001</v>
      </c>
      <c r="L16" s="7">
        <v>4.4381349507995098E-2</v>
      </c>
    </row>
    <row r="17" spans="1:12" x14ac:dyDescent="0.3">
      <c r="A17" s="11">
        <v>2005</v>
      </c>
      <c r="B17" s="14"/>
      <c r="C17" s="14"/>
      <c r="D17" s="7">
        <v>1139</v>
      </c>
      <c r="E17" s="7"/>
      <c r="F17" s="7">
        <v>6.0746415092326603E-2</v>
      </c>
      <c r="G17" s="7">
        <v>4.1763160375768199E-4</v>
      </c>
      <c r="H17" s="7"/>
      <c r="I17" s="7">
        <v>6.9190166790160004E-2</v>
      </c>
      <c r="J17" s="7">
        <v>4.7568239668E-4</v>
      </c>
      <c r="K17" s="7">
        <v>28076.488855071999</v>
      </c>
      <c r="L17" s="7">
        <v>4.0567750685614697E-2</v>
      </c>
    </row>
    <row r="18" spans="1:12" x14ac:dyDescent="0.3">
      <c r="A18" s="11">
        <v>2006</v>
      </c>
      <c r="B18" s="14"/>
      <c r="C18" s="14"/>
      <c r="D18" s="7">
        <v>5180</v>
      </c>
      <c r="E18" s="7"/>
      <c r="F18" s="7">
        <v>8.45636283086834E-2</v>
      </c>
      <c r="G18" s="7">
        <v>5.8137494462162198E-4</v>
      </c>
      <c r="H18" s="7"/>
      <c r="I18" s="7">
        <v>0.43803959463898001</v>
      </c>
      <c r="J18" s="7">
        <v>3.01152221314E-3</v>
      </c>
      <c r="K18" s="7">
        <v>28083.284755716999</v>
      </c>
      <c r="L18" s="7">
        <v>0.18445135763349399</v>
      </c>
    </row>
    <row r="19" spans="1:12" x14ac:dyDescent="0.3">
      <c r="A19" s="11">
        <v>2007</v>
      </c>
      <c r="B19" s="14"/>
      <c r="C19" s="14"/>
      <c r="D19" s="7">
        <v>835</v>
      </c>
      <c r="E19" s="7"/>
      <c r="F19" s="7">
        <v>6.3979841857952094E-2</v>
      </c>
      <c r="G19" s="7">
        <v>4.39861412766467E-4</v>
      </c>
      <c r="H19" s="7"/>
      <c r="I19" s="7">
        <v>5.3423167951390002E-2</v>
      </c>
      <c r="J19" s="7">
        <v>3.6728427966000002E-4</v>
      </c>
      <c r="K19" s="7">
        <v>28083.679416326999</v>
      </c>
      <c r="L19" s="7">
        <v>2.9732571278197801E-2</v>
      </c>
    </row>
    <row r="20" spans="1:12" x14ac:dyDescent="0.3">
      <c r="A20" s="11">
        <v>2008</v>
      </c>
      <c r="B20" s="14"/>
      <c r="C20" s="14"/>
      <c r="D20" s="7">
        <v>4994</v>
      </c>
      <c r="E20" s="7"/>
      <c r="F20" s="7">
        <v>8.15294530249039E-2</v>
      </c>
      <c r="G20" s="7">
        <v>5.6051498954545504E-4</v>
      </c>
      <c r="H20" s="7"/>
      <c r="I20" s="7">
        <v>0.40715808840637002</v>
      </c>
      <c r="J20" s="7">
        <v>2.7992118577899999E-3</v>
      </c>
      <c r="K20" s="7">
        <v>28086.006123211999</v>
      </c>
      <c r="L20" s="7">
        <v>0.177810970277923</v>
      </c>
    </row>
    <row r="21" spans="1:12" x14ac:dyDescent="0.3">
      <c r="A21" s="11">
        <v>2009</v>
      </c>
      <c r="B21" s="14"/>
      <c r="C21" s="14"/>
      <c r="D21" s="7">
        <v>1013</v>
      </c>
      <c r="E21" s="7"/>
      <c r="F21" s="7">
        <v>7.1152756246061197E-2</v>
      </c>
      <c r="G21" s="7">
        <v>4.8917519919052302E-4</v>
      </c>
      <c r="H21" s="7"/>
      <c r="I21" s="7">
        <v>7.2077742077260004E-2</v>
      </c>
      <c r="J21" s="7">
        <v>4.9553447677999998E-4</v>
      </c>
      <c r="K21" s="7">
        <v>28085.005118924</v>
      </c>
      <c r="L21" s="7">
        <v>3.6069069445083701E-2</v>
      </c>
    </row>
    <row r="22" spans="1:12" x14ac:dyDescent="0.3">
      <c r="A22" s="11">
        <v>2010</v>
      </c>
      <c r="B22" s="14"/>
      <c r="C22" s="14"/>
      <c r="D22" s="7">
        <v>281</v>
      </c>
      <c r="E22" s="7"/>
      <c r="F22" s="7">
        <v>5.53152552503203E-2</v>
      </c>
      <c r="G22" s="7">
        <v>3.80292379822064E-4</v>
      </c>
      <c r="H22" s="7"/>
      <c r="I22" s="7">
        <v>1.554358672534E-2</v>
      </c>
      <c r="J22" s="7">
        <v>1.0686215873E-4</v>
      </c>
      <c r="K22" s="7">
        <v>28086.247187886998</v>
      </c>
      <c r="L22" s="7">
        <v>1.00048966357168E-2</v>
      </c>
    </row>
    <row r="23" spans="1:12" x14ac:dyDescent="0.3">
      <c r="A23" s="11">
        <v>2011</v>
      </c>
      <c r="B23" s="14"/>
      <c r="C23" s="14"/>
      <c r="D23" s="7">
        <v>657</v>
      </c>
      <c r="E23" s="7"/>
      <c r="F23" s="7">
        <v>5.6625676302039601E-2</v>
      </c>
      <c r="G23" s="7">
        <v>3.8930152456621001E-4</v>
      </c>
      <c r="H23" s="7"/>
      <c r="I23" s="7">
        <v>3.720306933044E-2</v>
      </c>
      <c r="J23" s="7">
        <v>2.5577110163999998E-4</v>
      </c>
      <c r="K23" s="7">
        <v>28093.659352218001</v>
      </c>
      <c r="L23" s="7">
        <v>2.3386059885008501E-2</v>
      </c>
    </row>
    <row r="24" spans="1:12" x14ac:dyDescent="0.3">
      <c r="A24" s="11">
        <v>2012</v>
      </c>
      <c r="B24" s="14"/>
      <c r="C24" s="14"/>
      <c r="D24" s="7">
        <v>194</v>
      </c>
      <c r="E24" s="7"/>
      <c r="F24" s="7">
        <v>5.9073488533711298E-2</v>
      </c>
      <c r="G24" s="7">
        <v>4.0613023365979398E-4</v>
      </c>
      <c r="H24" s="7"/>
      <c r="I24" s="7">
        <v>1.1460256775540001E-2</v>
      </c>
      <c r="J24" s="7">
        <v>7.8789265330000003E-5</v>
      </c>
      <c r="K24" s="7">
        <v>28095.372989885</v>
      </c>
      <c r="L24" s="7">
        <v>6.90505159229759E-3</v>
      </c>
    </row>
    <row r="25" spans="1:12" x14ac:dyDescent="0.3">
      <c r="A25" s="11">
        <v>2013</v>
      </c>
      <c r="B25" s="14"/>
      <c r="C25" s="14"/>
      <c r="D25" s="7">
        <v>792</v>
      </c>
      <c r="E25" s="7"/>
      <c r="F25" s="7">
        <v>6.21483115230934E-2</v>
      </c>
      <c r="G25" s="7">
        <v>4.27269641717172E-4</v>
      </c>
      <c r="H25" s="7"/>
      <c r="I25" s="7">
        <v>4.9221462726290001E-2</v>
      </c>
      <c r="J25" s="7">
        <v>3.3839755624000002E-4</v>
      </c>
      <c r="K25" s="7">
        <v>28102.019402331</v>
      </c>
      <c r="L25" s="7">
        <v>2.8183028011656199E-2</v>
      </c>
    </row>
    <row r="26" spans="1:12" x14ac:dyDescent="0.3">
      <c r="A26" s="11">
        <v>2014</v>
      </c>
      <c r="B26" s="14"/>
      <c r="C26" s="14"/>
      <c r="D26" s="7">
        <v>12621</v>
      </c>
      <c r="E26" s="7"/>
      <c r="F26" s="7">
        <v>7.9609249457300496E-2</v>
      </c>
      <c r="G26" s="7">
        <v>5.4731359001822396E-4</v>
      </c>
      <c r="H26" s="7"/>
      <c r="I26" s="7">
        <v>1.0047483374005901</v>
      </c>
      <c r="J26" s="7">
        <v>6.9076448196199996E-3</v>
      </c>
      <c r="K26" s="7">
        <v>28097.861708340999</v>
      </c>
      <c r="L26" s="7">
        <v>0.44918008818633298</v>
      </c>
    </row>
    <row r="27" spans="1:12" x14ac:dyDescent="0.3">
      <c r="A27" s="11">
        <v>2015</v>
      </c>
      <c r="B27" s="14"/>
      <c r="C27" s="14"/>
      <c r="D27" s="7">
        <v>352</v>
      </c>
      <c r="E27" s="7"/>
      <c r="F27" s="7">
        <v>7.1874110326420507E-2</v>
      </c>
      <c r="G27" s="7">
        <v>4.9413450846590905E-4</v>
      </c>
      <c r="H27" s="7"/>
      <c r="I27" s="7">
        <v>2.5299686834900002E-2</v>
      </c>
      <c r="J27" s="7">
        <v>1.7393534698E-4</v>
      </c>
      <c r="K27" s="7">
        <v>28100.535233062001</v>
      </c>
      <c r="L27" s="7">
        <v>1.2526451794621E-2</v>
      </c>
    </row>
    <row r="28" spans="1:12" x14ac:dyDescent="0.3">
      <c r="A28" s="11">
        <v>2016</v>
      </c>
      <c r="B28" s="14"/>
      <c r="C28" s="14"/>
      <c r="D28" s="7">
        <v>975</v>
      </c>
      <c r="E28" s="7"/>
      <c r="F28" s="7">
        <v>7.1963000248266698E-2</v>
      </c>
      <c r="G28" s="7">
        <v>4.9474562669743602E-4</v>
      </c>
      <c r="H28" s="7"/>
      <c r="I28" s="7">
        <v>7.0163925242059999E-2</v>
      </c>
      <c r="J28" s="7">
        <v>4.8237698603000002E-4</v>
      </c>
      <c r="K28" s="7">
        <v>28097.25637848</v>
      </c>
      <c r="L28" s="7">
        <v>3.4700897015224698E-2</v>
      </c>
    </row>
    <row r="29" spans="1:12" x14ac:dyDescent="0.3">
      <c r="A29" s="11">
        <v>2017</v>
      </c>
      <c r="B29" s="14"/>
      <c r="C29" s="14"/>
      <c r="D29" s="7">
        <v>611</v>
      </c>
      <c r="E29" s="7"/>
      <c r="F29" s="7">
        <v>7.1363678332504094E-2</v>
      </c>
      <c r="G29" s="7">
        <v>4.9062528852700498E-4</v>
      </c>
      <c r="H29" s="7"/>
      <c r="I29" s="7">
        <v>4.3603207461159997E-2</v>
      </c>
      <c r="J29" s="7">
        <v>2.9977205128999999E-4</v>
      </c>
      <c r="K29" s="7">
        <v>28102.961236343999</v>
      </c>
      <c r="L29" s="7">
        <v>2.1741481079574899E-2</v>
      </c>
    </row>
    <row r="30" spans="1:12" x14ac:dyDescent="0.3">
      <c r="A30" s="11">
        <v>2018</v>
      </c>
      <c r="B30" s="14"/>
      <c r="C30" s="14"/>
      <c r="D30" s="7">
        <v>22454</v>
      </c>
      <c r="E30" s="7"/>
      <c r="F30" s="7">
        <v>8.9445115394716307E-2</v>
      </c>
      <c r="G30" s="7">
        <v>6.1493516833838104E-4</v>
      </c>
      <c r="H30" s="7"/>
      <c r="I30" s="7">
        <v>2.0084006210729601</v>
      </c>
      <c r="J30" s="7">
        <v>1.380775426987E-2</v>
      </c>
      <c r="K30" s="7">
        <v>28115.075782537999</v>
      </c>
      <c r="L30" s="7">
        <v>0.79864625561300995</v>
      </c>
    </row>
    <row r="31" spans="1:12" x14ac:dyDescent="0.3">
      <c r="A31" s="11">
        <v>2019</v>
      </c>
      <c r="B31" s="14"/>
      <c r="C31" s="14"/>
      <c r="D31" s="7">
        <v>1005</v>
      </c>
      <c r="E31" s="7"/>
      <c r="F31" s="7">
        <v>7.6131096226099496E-2</v>
      </c>
      <c r="G31" s="7">
        <v>5.2340128654726405E-4</v>
      </c>
      <c r="H31" s="7"/>
      <c r="I31" s="7">
        <v>7.651175170723E-2</v>
      </c>
      <c r="J31" s="7">
        <v>5.2601829298000002E-4</v>
      </c>
      <c r="K31" s="7">
        <v>28121.205133742998</v>
      </c>
      <c r="L31" s="7">
        <v>3.5738155431826998E-2</v>
      </c>
    </row>
    <row r="32" spans="1:12" x14ac:dyDescent="0.3">
      <c r="A32" s="11">
        <v>2020</v>
      </c>
      <c r="B32" s="14"/>
      <c r="C32" s="14"/>
      <c r="D32" s="7">
        <v>584</v>
      </c>
      <c r="E32" s="7"/>
      <c r="F32" s="7">
        <v>6.7915695410119895E-2</v>
      </c>
      <c r="G32" s="7">
        <v>4.6692040594178101E-4</v>
      </c>
      <c r="H32" s="7"/>
      <c r="I32" s="7">
        <v>3.9662766119510001E-2</v>
      </c>
      <c r="J32" s="7">
        <v>2.7268151706999998E-4</v>
      </c>
      <c r="K32" s="7">
        <v>28122.626449176001</v>
      </c>
      <c r="L32" s="7">
        <v>2.07661969644059E-2</v>
      </c>
    </row>
    <row r="33" spans="1:12" x14ac:dyDescent="0.3">
      <c r="A33" s="11">
        <v>2021</v>
      </c>
      <c r="B33" s="14"/>
      <c r="C33" s="14"/>
      <c r="D33" s="7">
        <v>601</v>
      </c>
      <c r="E33" s="7"/>
      <c r="F33" s="7">
        <v>7.7975705012945096E-2</v>
      </c>
      <c r="G33" s="7">
        <v>5.36082971963394E-4</v>
      </c>
      <c r="H33" s="7"/>
      <c r="I33" s="7">
        <v>4.6863398712780002E-2</v>
      </c>
      <c r="J33" s="7">
        <v>3.2218586614999998E-4</v>
      </c>
      <c r="K33" s="7">
        <v>28126.279807040999</v>
      </c>
      <c r="L33" s="7">
        <v>2.1367916557864498E-2</v>
      </c>
    </row>
    <row r="34" spans="1:12" x14ac:dyDescent="0.3">
      <c r="A34" s="11">
        <v>2022</v>
      </c>
      <c r="B34" s="14"/>
      <c r="C34" s="14"/>
      <c r="D34" s="7">
        <v>583</v>
      </c>
      <c r="E34" s="7"/>
      <c r="F34" s="7">
        <v>6.7482208728456297E-2</v>
      </c>
      <c r="G34" s="7">
        <v>4.6394018499142401E-4</v>
      </c>
      <c r="H34" s="7"/>
      <c r="I34" s="7">
        <v>3.9342127688689998E-2</v>
      </c>
      <c r="J34" s="7">
        <v>2.7047712784999999E-4</v>
      </c>
      <c r="K34" s="7">
        <v>28126.445997138999</v>
      </c>
      <c r="L34" s="7">
        <v>2.0727823204513701E-2</v>
      </c>
    </row>
    <row r="35" spans="1:12" x14ac:dyDescent="0.3">
      <c r="A35" s="11">
        <v>2023</v>
      </c>
      <c r="B35" s="14"/>
      <c r="C35" s="14"/>
      <c r="D35" s="7">
        <v>756</v>
      </c>
      <c r="E35" s="7"/>
      <c r="F35" s="7">
        <v>6.3041102129814799E-2</v>
      </c>
      <c r="G35" s="7">
        <v>4.3340757712963002E-4</v>
      </c>
      <c r="H35" s="7"/>
      <c r="I35" s="7">
        <v>4.7659073210139999E-2</v>
      </c>
      <c r="J35" s="7">
        <v>3.2765612831E-4</v>
      </c>
      <c r="K35" s="7">
        <v>28129.441051697999</v>
      </c>
      <c r="L35" s="7">
        <v>2.6875756208968999E-2</v>
      </c>
    </row>
    <row r="36" spans="1:12" x14ac:dyDescent="0.3">
      <c r="A36" s="12">
        <v>2024</v>
      </c>
      <c r="B36" s="5"/>
      <c r="C36" s="5"/>
      <c r="D36" s="8">
        <v>235</v>
      </c>
      <c r="E36" s="8"/>
      <c r="F36" s="8">
        <v>6.9421277663659603E-2</v>
      </c>
      <c r="G36" s="8">
        <v>4.7727128391489401E-4</v>
      </c>
      <c r="H36" s="8"/>
      <c r="I36" s="8">
        <v>1.6314000250960001E-2</v>
      </c>
      <c r="J36" s="8">
        <v>1.1215875172E-4</v>
      </c>
      <c r="K36" s="8">
        <v>28125.788655413999</v>
      </c>
      <c r="L36" s="8">
        <v>8.3553212633119996E-3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CSV_Description</vt:lpstr>
      <vt:lpstr>List</vt:lpstr>
      <vt:lpstr>Species</vt:lpstr>
      <vt:lpstr>AUT</vt:lpstr>
      <vt:lpstr>BEL</vt:lpstr>
      <vt:lpstr>BGR</vt:lpstr>
      <vt:lpstr>CHE</vt:lpstr>
      <vt:lpstr>CZE</vt:lpstr>
      <vt:lpstr>DEU</vt:lpstr>
      <vt:lpstr>DNK</vt:lpstr>
      <vt:lpstr>ESP</vt:lpstr>
      <vt:lpstr>EST</vt:lpstr>
      <vt:lpstr>FIN</vt:lpstr>
      <vt:lpstr>FRA</vt:lpstr>
      <vt:lpstr>GRC</vt:lpstr>
      <vt:lpstr>HRV</vt:lpstr>
      <vt:lpstr>IRL</vt:lpstr>
      <vt:lpstr>ITA</vt:lpstr>
      <vt:lpstr>LVA</vt:lpstr>
      <vt:lpstr>LTU</vt:lpstr>
      <vt:lpstr>NLD</vt:lpstr>
      <vt:lpstr>NOR</vt:lpstr>
      <vt:lpstr>POL</vt:lpstr>
      <vt:lpstr>PRT</vt:lpstr>
      <vt:lpstr>ROU</vt:lpstr>
      <vt:lpstr>SVK</vt:lpstr>
      <vt:lpstr>SVN</vt:lpstr>
      <vt:lpstr>SWE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Cienciala</dc:creator>
  <cp:lastModifiedBy>Emil Cienciala</cp:lastModifiedBy>
  <dcterms:created xsi:type="dcterms:W3CDTF">2026-04-14T15:31:30Z</dcterms:created>
  <dcterms:modified xsi:type="dcterms:W3CDTF">2026-04-19T07:52:38Z</dcterms:modified>
</cp:coreProperties>
</file>